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5f05c1031a064/Bureau/2024-2025/s6/ue5 stage mineur/"/>
    </mc:Choice>
  </mc:AlternateContent>
  <xr:revisionPtr revIDLastSave="181" documentId="8_{60CC9155-1AEA-4845-A4BF-883EB7845643}" xr6:coauthVersionLast="47" xr6:coauthVersionMax="47" xr10:uidLastSave="{3423F5AF-D68D-44C2-8C9B-9F9D7D5A4D55}"/>
  <bookViews>
    <workbookView xWindow="-108" yWindow="-108" windowWidth="23256" windowHeight="12456" activeTab="1" xr2:uid="{4DD3805B-4340-4EE9-AD03-FD5D3EE693FF}"/>
  </bookViews>
  <sheets>
    <sheet name="MyJumpLab_MyJump03" sheetId="1" r:id="rId1"/>
    <sheet name="Bouchet Baptiste" sheetId="2" r:id="rId2"/>
    <sheet name="Boudeville Julien" sheetId="5" r:id="rId3"/>
    <sheet name="Chauvin Ã‰tienne" sheetId="6" r:id="rId4"/>
    <sheet name="Damien" sheetId="7" r:id="rId5"/>
    <sheet name="Germaneau Arthur" sheetId="8" r:id="rId6"/>
    <sheet name="Renault Mathis" sheetId="9" r:id="rId7"/>
    <sheet name="Thibault Laulanet " sheetId="3" r:id="rId8"/>
    <sheet name="tinael" sheetId="4" r:id="rId9"/>
    <sheet name="MJ" sheetId="11" r:id="rId10"/>
    <sheet name="comparaison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<sst xmlns="http://schemas.openxmlformats.org/spreadsheetml/2006/main" count="347" uniqueCount="57">
  <si>
    <t>Date</t>
  </si>
  <si>
    <t>Equipe</t>
  </si>
  <si>
    <t>Nom</t>
  </si>
  <si>
    <t>Poids du corps(kg)</t>
  </si>
  <si>
    <t>Distance de pousseÌe (hp0, en m)</t>
  </si>
  <si>
    <t>Type de saut</t>
  </si>
  <si>
    <t>F0 (N/kg)</t>
  </si>
  <si>
    <t>V0 (m/s)</t>
  </si>
  <si>
    <t>Pmax (W/kg)</t>
  </si>
  <si>
    <t>DeÌseÌquilibre F-V (%)</t>
  </si>
  <si>
    <t>DeÌficit</t>
  </si>
  <si>
    <t>Hauteur de saut 1 (cm)</t>
  </si>
  <si>
    <t>Hauteur de saut 2 (cm)</t>
  </si>
  <si>
    <t>Hauteur de saut 3 (cm)</t>
  </si>
  <si>
    <t>Hauteur de saut 4 (cm)</t>
  </si>
  <si>
    <t>Charge 1 (kg)</t>
  </si>
  <si>
    <t>Charge 2 (kg)</t>
  </si>
  <si>
    <t>Charge 3 (kg)</t>
  </si>
  <si>
    <t>Charge 4 (kg)</t>
  </si>
  <si>
    <t>26.2.2025, 21:17</t>
  </si>
  <si>
    <t>Vouille VB</t>
  </si>
  <si>
    <t>Bouchet Baptiste</t>
  </si>
  <si>
    <t>CMJ</t>
  </si>
  <si>
    <t>Velocity deficit</t>
  </si>
  <si>
    <t>26.2.2025, 20:53</t>
  </si>
  <si>
    <t>Boudeville Julien</t>
  </si>
  <si>
    <t>26.2.2025, 21:41</t>
  </si>
  <si>
    <t>Chauvin Ã‰tienne</t>
  </si>
  <si>
    <t>26.2.2025, 21:48</t>
  </si>
  <si>
    <t>Damien</t>
  </si>
  <si>
    <t>26.2.2025, 21:26</t>
  </si>
  <si>
    <t>Germaneau Arthur</t>
  </si>
  <si>
    <t>26.2.2025, 21:10</t>
  </si>
  <si>
    <t>Renault Mathis</t>
  </si>
  <si>
    <t>26.2.2025, 21:35</t>
  </si>
  <si>
    <t xml:space="preserve">Thibault Laulanet </t>
  </si>
  <si>
    <t>26.2.2025, 21:2</t>
  </si>
  <si>
    <t xml:space="preserve">Tinael </t>
  </si>
  <si>
    <t>f</t>
  </si>
  <si>
    <t>v</t>
  </si>
  <si>
    <t>p</t>
  </si>
  <si>
    <t>tinael</t>
  </si>
  <si>
    <t>thibault</t>
  </si>
  <si>
    <t>damien</t>
  </si>
  <si>
    <t>mathis</t>
  </si>
  <si>
    <t>arthur</t>
  </si>
  <si>
    <t>etienne</t>
  </si>
  <si>
    <t>julien</t>
  </si>
  <si>
    <t>Baptiste</t>
  </si>
  <si>
    <t>23.4.2025, 21:46</t>
  </si>
  <si>
    <t>23.4.2025, 21:26</t>
  </si>
  <si>
    <t>23.4.2025, 22:7</t>
  </si>
  <si>
    <t>23.4.2025, 21:54</t>
  </si>
  <si>
    <t>23.4.2025, 22:2</t>
  </si>
  <si>
    <t>23.4.2025, 21:39</t>
  </si>
  <si>
    <t>23.4.2025, 21:12</t>
  </si>
  <si>
    <t xml:space="preserve">Mj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</si>
</sst>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F/V Baptiste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858479781067088"/>
                  <c:y val="-0.157731131005676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'Bouchet Baptiste'!$C$6:$C$7</c:f>
              <c:numCache>
                <c:formatCode>General</c:formatCode>
                <c:ptCount val="2"/>
                <c:pt idx="0">
                  <c:v>0</c:v>
                </c:pt>
                <c:pt idx="1">
                  <c:v>0.86</c:v>
                </c:pt>
              </c:numCache>
            </c:numRef>
          </c:xVal>
          <c:yVal>
            <c:numRef>
              <c:f>'Bouchet Baptiste'!$B$6:$B$7</c:f>
              <c:numCache>
                <c:formatCode>General</c:formatCode>
                <c:ptCount val="2"/>
                <c:pt idx="0">
                  <c:v>18.43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7-4142-803E-4A965B665308}"/>
            </c:ext>
          </c:extLst>
        </c:ser>
        <c:ser>
          <c:idx val="1"/>
          <c:order val="1"/>
          <c:tx>
            <c:v>serie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'Bouchet Baptiste'!$C$25:$C$26</c:f>
              <c:numCache>
                <c:formatCode>General</c:formatCode>
                <c:ptCount val="2"/>
                <c:pt idx="0">
                  <c:v>0</c:v>
                </c:pt>
                <c:pt idx="1">
                  <c:v>0.51</c:v>
                </c:pt>
              </c:numCache>
            </c:numRef>
          </c:xVal>
          <c:yVal>
            <c:numRef>
              <c:f>'Bouchet Baptiste'!$B$25:$B$26</c:f>
              <c:numCache>
                <c:formatCode>General</c:formatCode>
                <c:ptCount val="2"/>
                <c:pt idx="0">
                  <c:v>13.62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9-4613-9A12-E3B69523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8847"/>
        <c:axId val="1111647407"/>
      </c:scatterChart>
      <c:valAx>
        <c:axId val="111164884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7407"/>
        <c:crosses val="autoZero"/>
        <c:crossBetween val="midCat"/>
      </c:valAx>
      <c:valAx>
        <c:axId val="1111647407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8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F/V</a:t>
            </a:r>
            <a:r>
              <a:rPr lang="fr-FR" baseline="0"/>
              <a:t> Julien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61111111111111"/>
                  <c:y val="-2.7877661125692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'Boudeville Julien'!$C$6:$C$7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</c:v>
                </c:pt>
              </c:numCache>
            </c:numRef>
          </c:xVal>
          <c:yVal>
            <c:numRef>
              <c:f>'Boudeville Julien'!$B$6:$B$7</c:f>
              <c:numCache>
                <c:formatCode>General</c:formatCode>
                <c:ptCount val="2"/>
                <c:pt idx="0">
                  <c:v>0</c:v>
                </c:pt>
                <c:pt idx="1">
                  <c:v>13.52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96-41ED-8360-7E823960380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'Boudeville Julien'!$C$23:$C$24</c:f>
              <c:numCache>
                <c:formatCode>General</c:formatCode>
                <c:ptCount val="2"/>
                <c:pt idx="0">
                  <c:v>0.66</c:v>
                </c:pt>
                <c:pt idx="1">
                  <c:v>0</c:v>
                </c:pt>
              </c:numCache>
            </c:numRef>
          </c:xVal>
          <c:yVal>
            <c:numRef>
              <c:f>'Boudeville Julien'!$B$23:$B$24</c:f>
              <c:numCache>
                <c:formatCode>General</c:formatCode>
                <c:ptCount val="2"/>
                <c:pt idx="0">
                  <c:v>0</c:v>
                </c:pt>
                <c:pt idx="1">
                  <c:v>15.06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7A-479A-98E0-92F0E418E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4527"/>
        <c:axId val="1111652207"/>
      </c:scatterChart>
      <c:valAx>
        <c:axId val="111164452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52207"/>
        <c:crosses val="autoZero"/>
        <c:crossBetween val="midCat"/>
      </c:valAx>
      <c:valAx>
        <c:axId val="111165220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Etiennne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'Chauvin Ã‰tienne'!$C$6:$C$7</c:f>
              <c:numCache>
                <c:formatCode>General</c:formatCode>
                <c:ptCount val="2"/>
                <c:pt idx="0">
                  <c:v>1.2</c:v>
                </c:pt>
                <c:pt idx="1">
                  <c:v>0</c:v>
                </c:pt>
              </c:numCache>
            </c:numRef>
          </c:xVal>
          <c:yVal>
            <c:numRef>
              <c:f>'Chauvin Ã‰tienne'!$B$6:$B$7</c:f>
              <c:numCache>
                <c:formatCode>General</c:formatCode>
                <c:ptCount val="2"/>
                <c:pt idx="0">
                  <c:v>0</c:v>
                </c:pt>
                <c:pt idx="1">
                  <c:v>19.88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B2-489E-9412-FAE4F6CB0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531295"/>
        <c:axId val="1271527935"/>
      </c:scatterChart>
      <c:valAx>
        <c:axId val="127153129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27935"/>
        <c:crosses val="autoZero"/>
        <c:crossBetween val="midCat"/>
      </c:valAx>
      <c:valAx>
        <c:axId val="127152793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3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Damien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Damien!$C$6:$C$7</c:f>
              <c:numCache>
                <c:formatCode>General</c:formatCode>
                <c:ptCount val="2"/>
                <c:pt idx="0">
                  <c:v>3.57</c:v>
                </c:pt>
                <c:pt idx="1">
                  <c:v>0</c:v>
                </c:pt>
              </c:numCache>
            </c:numRef>
          </c:xVal>
          <c:yVal>
            <c:numRef>
              <c:f>Damien!$B$6:$B$7</c:f>
              <c:numCache>
                <c:formatCode>General</c:formatCode>
                <c:ptCount val="2"/>
                <c:pt idx="0">
                  <c:v>0</c:v>
                </c:pt>
                <c:pt idx="1">
                  <c:v>25.49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D-44D8-AD5D-29718FFF91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Damien!$C$24:$C$25</c:f>
              <c:numCache>
                <c:formatCode>General</c:formatCode>
                <c:ptCount val="2"/>
                <c:pt idx="0">
                  <c:v>3.91</c:v>
                </c:pt>
                <c:pt idx="1">
                  <c:v>0</c:v>
                </c:pt>
              </c:numCache>
            </c:numRef>
          </c:xVal>
          <c:yVal>
            <c:numRef>
              <c:f>Damien!$B$24:$B$25</c:f>
              <c:numCache>
                <c:formatCode>General</c:formatCode>
                <c:ptCount val="2"/>
                <c:pt idx="0">
                  <c:v>0</c:v>
                </c:pt>
                <c:pt idx="1">
                  <c:v>26.72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E-477D-B272-54C9278B5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90591"/>
        <c:axId val="1271529375"/>
      </c:scatterChart>
      <c:valAx>
        <c:axId val="12057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29375"/>
        <c:crosses val="autoZero"/>
        <c:crossBetween val="midCat"/>
      </c:valAx>
      <c:valAx>
        <c:axId val="127152937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9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Arthur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669291338582678"/>
                  <c:y val="4.782735491396908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'Germaneau Arthur'!$C$6:$C$7</c:f>
              <c:numCache>
                <c:formatCode>General</c:formatCode>
                <c:ptCount val="2"/>
                <c:pt idx="0">
                  <c:v>0.74</c:v>
                </c:pt>
                <c:pt idx="1">
                  <c:v>0</c:v>
                </c:pt>
              </c:numCache>
            </c:numRef>
          </c:xVal>
          <c:yVal>
            <c:numRef>
              <c:f>'Germaneau Arthur'!$B$6:$B$7</c:f>
              <c:numCache>
                <c:formatCode>General</c:formatCode>
                <c:ptCount val="2"/>
                <c:pt idx="0">
                  <c:v>0</c:v>
                </c:pt>
                <c:pt idx="1">
                  <c:v>18.22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B-4200-AF68-D45141DC429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'Germaneau Arthur'!$C$24:$C$25</c:f>
              <c:numCache>
                <c:formatCode>General</c:formatCode>
                <c:ptCount val="2"/>
                <c:pt idx="0">
                  <c:v>0.71</c:v>
                </c:pt>
                <c:pt idx="1">
                  <c:v>0</c:v>
                </c:pt>
              </c:numCache>
            </c:numRef>
          </c:xVal>
          <c:yVal>
            <c:numRef>
              <c:f>'Germaneau Arthur'!$B$24:$B$25</c:f>
              <c:numCache>
                <c:formatCode>General</c:formatCode>
                <c:ptCount val="2"/>
                <c:pt idx="0">
                  <c:v>0</c:v>
                </c:pt>
                <c:pt idx="1">
                  <c:v>17.88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6-4FDA-8054-9970DDC2C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4527"/>
        <c:axId val="1111645487"/>
      </c:scatterChart>
      <c:valAx>
        <c:axId val="111164452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5487"/>
        <c:crosses val="autoZero"/>
        <c:crossBetween val="midCat"/>
      </c:valAx>
      <c:valAx>
        <c:axId val="111164548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Mathis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'Renault Mathis'!$C$6:$C$7</c:f>
              <c:numCache>
                <c:formatCode>General</c:formatCode>
                <c:ptCount val="2"/>
                <c:pt idx="0">
                  <c:v>1.24</c:v>
                </c:pt>
                <c:pt idx="1">
                  <c:v>0</c:v>
                </c:pt>
              </c:numCache>
            </c:numRef>
          </c:xVal>
          <c:yVal>
            <c:numRef>
              <c:f>'Renault Mathis'!$B$6:$B$7</c:f>
              <c:numCache>
                <c:formatCode>General</c:formatCode>
                <c:ptCount val="2"/>
                <c:pt idx="0">
                  <c:v>0</c:v>
                </c:pt>
                <c:pt idx="1">
                  <c:v>20.02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C-4356-8642-3149D9914C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'Renault Mathis'!$C$23:$C$24</c:f>
              <c:numCache>
                <c:formatCode>General</c:formatCode>
                <c:ptCount val="2"/>
                <c:pt idx="0">
                  <c:v>1.17</c:v>
                </c:pt>
                <c:pt idx="1">
                  <c:v>0</c:v>
                </c:pt>
              </c:numCache>
            </c:numRef>
          </c:xVal>
          <c:yVal>
            <c:numRef>
              <c:f>'Renault Mathis'!$B$23:$B$24</c:f>
              <c:numCache>
                <c:formatCode>General</c:formatCode>
                <c:ptCount val="2"/>
                <c:pt idx="0">
                  <c:v>0</c:v>
                </c:pt>
                <c:pt idx="1">
                  <c:v>19.86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F5-47BC-9508-8A821780D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77631"/>
        <c:axId val="1205780031"/>
      </c:scatterChart>
      <c:valAx>
        <c:axId val="120577763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0031"/>
        <c:crosses val="autoZero"/>
        <c:crossBetween val="midCat"/>
      </c:valAx>
      <c:valAx>
        <c:axId val="12057800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7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Thibault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34009186351706"/>
                  <c:y val="-2.9690142898804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'Thibault Laulanet '!$C$6:$C$7</c:f>
              <c:numCache>
                <c:formatCode>General</c:formatCode>
                <c:ptCount val="2"/>
                <c:pt idx="0">
                  <c:v>3.31</c:v>
                </c:pt>
                <c:pt idx="1">
                  <c:v>0</c:v>
                </c:pt>
              </c:numCache>
            </c:numRef>
          </c:xVal>
          <c:yVal>
            <c:numRef>
              <c:f>'Thibault Laulanet '!$B$6:$B$7</c:f>
              <c:numCache>
                <c:formatCode>General</c:formatCode>
                <c:ptCount val="2"/>
                <c:pt idx="0">
                  <c:v>0</c:v>
                </c:pt>
                <c:pt idx="1">
                  <c:v>26.69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C-432E-B21E-F726A2071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123135"/>
        <c:axId val="1276111615"/>
      </c:scatterChart>
      <c:valAx>
        <c:axId val="127612313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111615"/>
        <c:crosses val="autoZero"/>
        <c:crossBetween val="midCat"/>
      </c:valAx>
      <c:valAx>
        <c:axId val="1276111615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123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Tinael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175940507436571"/>
                  <c:y val="-1.80402449693788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tinael!$C$6:$C$7</c:f>
              <c:numCache>
                <c:formatCode>General</c:formatCode>
                <c:ptCount val="2"/>
                <c:pt idx="0">
                  <c:v>2.0699999999999998</c:v>
                </c:pt>
                <c:pt idx="1">
                  <c:v>0</c:v>
                </c:pt>
              </c:numCache>
            </c:numRef>
          </c:xVal>
          <c:yVal>
            <c:numRef>
              <c:f>tinael!$B$6:$B$7</c:f>
              <c:numCache>
                <c:formatCode>General</c:formatCode>
                <c:ptCount val="2"/>
                <c:pt idx="0">
                  <c:v>0</c:v>
                </c:pt>
                <c:pt idx="1">
                  <c:v>22.01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9B-4ABA-A3FD-81FB59BD2D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tinael!$C$21:$C$22</c:f>
              <c:numCache>
                <c:formatCode>General</c:formatCode>
                <c:ptCount val="2"/>
                <c:pt idx="0">
                  <c:v>1.17</c:v>
                </c:pt>
                <c:pt idx="1">
                  <c:v>0</c:v>
                </c:pt>
              </c:numCache>
            </c:numRef>
          </c:xVal>
          <c:yVal>
            <c:numRef>
              <c:f>tinael!$B$21:$B$22</c:f>
              <c:numCache>
                <c:formatCode>General</c:formatCode>
                <c:ptCount val="2"/>
                <c:pt idx="0">
                  <c:v>0</c:v>
                </c:pt>
                <c:pt idx="1">
                  <c:v>17.760000000000002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3B-491E-8315-D72E1F894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88671"/>
        <c:axId val="1205787231"/>
      </c:scatterChart>
      <c:valAx>
        <c:axId val="120578867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7231"/>
        <c:crosses val="autoZero"/>
        <c:crossBetween val="midCat"/>
      </c:valAx>
      <c:valAx>
        <c:axId val="12057872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MJ!$C$6:$C$7</c:f>
              <c:numCache>
                <c:formatCode>General</c:formatCode>
                <c:ptCount val="2"/>
                <c:pt idx="0">
                  <c:v>0.28999999999999998</c:v>
                </c:pt>
                <c:pt idx="1">
                  <c:v>0</c:v>
                </c:pt>
              </c:numCache>
            </c:numRef>
          </c:xVal>
          <c:yVal>
            <c:numRef>
              <c:f>MJ!$B$6:$B$7</c:f>
              <c:numCache>
                <c:formatCode>General</c:formatCode>
                <c:ptCount val="2"/>
                <c:pt idx="0">
                  <c:v>0</c:v>
                </c:pt>
                <c:pt idx="1">
                  <c:v>10.92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2-4344-ABE2-6126673BD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276208"/>
        <c:axId val="420280048"/>
      </c:scatterChart>
      <c:valAx>
        <c:axId val="420276208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280048"/>
        <c:crosses val="autoZero"/>
        <c:crossBetween val="midCat"/>
      </c:valAx>
      <c:valAx>
        <c:axId val="42028004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0276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Tinael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175940507436571"/>
                  <c:y val="-1.80402449693788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tinael!$C$6:$C$7</c:f>
              <c:numCache>
                <c:formatCode>General</c:formatCode>
                <c:ptCount val="2"/>
                <c:pt idx="0">
                  <c:v>2.0699999999999998</c:v>
                </c:pt>
                <c:pt idx="1">
                  <c:v>0</c:v>
                </c:pt>
              </c:numCache>
            </c:numRef>
          </c:xVal>
          <c:yVal>
            <c:numRef>
              <c:f>tinael!$B$6:$B$7</c:f>
              <c:numCache>
                <c:formatCode>General</c:formatCode>
                <c:ptCount val="2"/>
                <c:pt idx="0">
                  <c:v>0</c:v>
                </c:pt>
                <c:pt idx="1">
                  <c:v>22.01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75-4936-BA05-7E8790272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88671"/>
        <c:axId val="1205787231"/>
      </c:scatterChart>
      <c:valAx>
        <c:axId val="120578867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7231"/>
        <c:crosses val="autoZero"/>
        <c:crossBetween val="midCat"/>
      </c:valAx>
      <c:valAx>
        <c:axId val="12057872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8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Thibault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34009186351706"/>
                  <c:y val="-2.96901428988044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'Thibault Laulanet '!$C$6:$C$7</c:f>
              <c:numCache>
                <c:formatCode>General</c:formatCode>
                <c:ptCount val="2"/>
                <c:pt idx="0">
                  <c:v>3.31</c:v>
                </c:pt>
                <c:pt idx="1">
                  <c:v>0</c:v>
                </c:pt>
              </c:numCache>
            </c:numRef>
          </c:xVal>
          <c:yVal>
            <c:numRef>
              <c:f>'Thibault Laulanet '!$B$6:$B$7</c:f>
              <c:numCache>
                <c:formatCode>General</c:formatCode>
                <c:ptCount val="2"/>
                <c:pt idx="0">
                  <c:v>0</c:v>
                </c:pt>
                <c:pt idx="1">
                  <c:v>26.69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D6-4935-9B73-A41E9E2E8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6123135"/>
        <c:axId val="1276111615"/>
      </c:scatterChart>
      <c:valAx>
        <c:axId val="127612313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111615"/>
        <c:crosses val="autoZero"/>
        <c:crossBetween val="midCat"/>
      </c:valAx>
      <c:valAx>
        <c:axId val="1276111615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612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Mathis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'Renault Mathis'!$C$6:$C$7</c:f>
              <c:numCache>
                <c:formatCode>General</c:formatCode>
                <c:ptCount val="2"/>
                <c:pt idx="0">
                  <c:v>1.24</c:v>
                </c:pt>
                <c:pt idx="1">
                  <c:v>0</c:v>
                </c:pt>
              </c:numCache>
            </c:numRef>
          </c:xVal>
          <c:yVal>
            <c:numRef>
              <c:f>'Renault Mathis'!$B$6:$B$7</c:f>
              <c:numCache>
                <c:formatCode>General</c:formatCode>
                <c:ptCount val="2"/>
                <c:pt idx="0">
                  <c:v>0</c:v>
                </c:pt>
                <c:pt idx="1">
                  <c:v>20.02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E8-4F67-A471-30538C617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77631"/>
        <c:axId val="1205780031"/>
      </c:scatterChart>
      <c:valAx>
        <c:axId val="1205777631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80031"/>
        <c:crosses val="autoZero"/>
        <c:crossBetween val="midCat"/>
      </c:valAx>
      <c:valAx>
        <c:axId val="1205780031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77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Arthur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669291338582678"/>
                  <c:y val="4.782735491396908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'Germaneau Arthur'!$C$6:$C$7</c:f>
              <c:numCache>
                <c:formatCode>General</c:formatCode>
                <c:ptCount val="2"/>
                <c:pt idx="0">
                  <c:v>0.74</c:v>
                </c:pt>
                <c:pt idx="1">
                  <c:v>0</c:v>
                </c:pt>
              </c:numCache>
            </c:numRef>
          </c:xVal>
          <c:yVal>
            <c:numRef>
              <c:f>'Germaneau Arthur'!$B$6:$B$7</c:f>
              <c:numCache>
                <c:formatCode>General</c:formatCode>
                <c:ptCount val="2"/>
                <c:pt idx="0">
                  <c:v>0</c:v>
                </c:pt>
                <c:pt idx="1">
                  <c:v>18.22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95-4B6D-871A-B46B48164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4527"/>
        <c:axId val="1111645487"/>
      </c:scatterChart>
      <c:valAx>
        <c:axId val="111164452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5487"/>
        <c:crosses val="autoZero"/>
        <c:crossBetween val="midCat"/>
      </c:valAx>
      <c:valAx>
        <c:axId val="111164548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Damien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Damien!$C$6:$C$7</c:f>
              <c:numCache>
                <c:formatCode>General</c:formatCode>
                <c:ptCount val="2"/>
                <c:pt idx="0">
                  <c:v>3.57</c:v>
                </c:pt>
                <c:pt idx="1">
                  <c:v>0</c:v>
                </c:pt>
              </c:numCache>
            </c:numRef>
          </c:xVal>
          <c:yVal>
            <c:numRef>
              <c:f>Damien!$B$6:$B$7</c:f>
              <c:numCache>
                <c:formatCode>General</c:formatCode>
                <c:ptCount val="2"/>
                <c:pt idx="0">
                  <c:v>0</c:v>
                </c:pt>
                <c:pt idx="1">
                  <c:v>25.49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AC-42E3-80F2-519DB686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790591"/>
        <c:axId val="1271529375"/>
      </c:scatterChart>
      <c:valAx>
        <c:axId val="120579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29375"/>
        <c:crosses val="autoZero"/>
        <c:crossBetween val="midCat"/>
      </c:valAx>
      <c:valAx>
        <c:axId val="127152937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579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Etiennne F/V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'Chauvin Ã‰tienne'!$C$6:$C$7</c:f>
              <c:numCache>
                <c:formatCode>General</c:formatCode>
                <c:ptCount val="2"/>
                <c:pt idx="0">
                  <c:v>1.2</c:v>
                </c:pt>
                <c:pt idx="1">
                  <c:v>0</c:v>
                </c:pt>
              </c:numCache>
            </c:numRef>
          </c:xVal>
          <c:yVal>
            <c:numRef>
              <c:f>'Chauvin Ã‰tienne'!$B$6:$B$7</c:f>
              <c:numCache>
                <c:formatCode>General</c:formatCode>
                <c:ptCount val="2"/>
                <c:pt idx="0">
                  <c:v>0</c:v>
                </c:pt>
                <c:pt idx="1">
                  <c:v>19.88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A3-4C46-83FE-E40115159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531295"/>
        <c:axId val="1271527935"/>
      </c:scatterChart>
      <c:valAx>
        <c:axId val="1271531295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27935"/>
        <c:crosses val="autoZero"/>
        <c:crossBetween val="midCat"/>
      </c:valAx>
      <c:valAx>
        <c:axId val="1271527935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1531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F/V</a:t>
            </a:r>
            <a:r>
              <a:rPr lang="fr-FR" baseline="0"/>
              <a:t> Julien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61111111111111"/>
                  <c:y val="-2.7877661125692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'Boudeville Julien'!$C$6:$C$7</c:f>
              <c:numCache>
                <c:formatCode>General</c:formatCode>
                <c:ptCount val="2"/>
                <c:pt idx="0">
                  <c:v>0.55000000000000004</c:v>
                </c:pt>
                <c:pt idx="1">
                  <c:v>0</c:v>
                </c:pt>
              </c:numCache>
            </c:numRef>
          </c:xVal>
          <c:yVal>
            <c:numRef>
              <c:f>'Boudeville Julien'!$B$6:$B$7</c:f>
              <c:numCache>
                <c:formatCode>General</c:formatCode>
                <c:ptCount val="2"/>
                <c:pt idx="0">
                  <c:v>0</c:v>
                </c:pt>
                <c:pt idx="1">
                  <c:v>13.52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A6-44AC-9447-21E668067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4527"/>
        <c:axId val="1111652207"/>
      </c:scatterChart>
      <c:valAx>
        <c:axId val="111164452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52207"/>
        <c:crosses val="autoZero"/>
        <c:crossBetween val="midCat"/>
      </c:valAx>
      <c:valAx>
        <c:axId val="111165220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4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F/V Baptiste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183908573928259"/>
                  <c:y val="0.166566783318751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'Bouchet Baptiste'!$C$6:$C$7</c:f>
              <c:numCache>
                <c:formatCode>General</c:formatCode>
                <c:ptCount val="2"/>
                <c:pt idx="0">
                  <c:v>0</c:v>
                </c:pt>
                <c:pt idx="1">
                  <c:v>0.86</c:v>
                </c:pt>
              </c:numCache>
            </c:numRef>
          </c:xVal>
          <c:yVal>
            <c:numRef>
              <c:f>'Bouchet Baptiste'!$B$6:$B$7</c:f>
              <c:numCache>
                <c:formatCode>General</c:formatCode>
                <c:ptCount val="2"/>
                <c:pt idx="0">
                  <c:v>18.43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27-4142-803E-4A965B665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648847"/>
        <c:axId val="1111647407"/>
      </c:scatterChart>
      <c:valAx>
        <c:axId val="1111648847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7407"/>
        <c:crosses val="autoZero"/>
        <c:crossBetween val="midCat"/>
      </c:valAx>
      <c:valAx>
        <c:axId val="1111647407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648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Profil</a:t>
            </a:r>
            <a:r>
              <a:rPr lang="fr-FR" baseline="0"/>
              <a:t> F/V vouillé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tinael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comparaison!$N$35:$O$35</c:f>
              <c:numCache>
                <c:formatCode>General</c:formatCode>
                <c:ptCount val="2"/>
                <c:pt idx="0">
                  <c:v>0</c:v>
                </c:pt>
                <c:pt idx="1">
                  <c:v>2.0699999999999998</c:v>
                </c:pt>
              </c:numCache>
            </c:numRef>
          </c:xVal>
          <c:yVal>
            <c:numRef>
              <c:f>comparaison!$N$36:$O$36</c:f>
              <c:numCache>
                <c:formatCode>General</c:formatCode>
                <c:ptCount val="2"/>
                <c:pt idx="0">
                  <c:v>22.01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08-4704-A6F9-22F795114722}"/>
            </c:ext>
          </c:extLst>
        </c:ser>
        <c:ser>
          <c:idx val="1"/>
          <c:order val="1"/>
          <c:tx>
            <c:v>thibault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comparaison!$N$38:$O$38</c:f>
              <c:numCache>
                <c:formatCode>General</c:formatCode>
                <c:ptCount val="2"/>
                <c:pt idx="0">
                  <c:v>0</c:v>
                </c:pt>
                <c:pt idx="1">
                  <c:v>3.31</c:v>
                </c:pt>
              </c:numCache>
            </c:numRef>
          </c:xVal>
          <c:yVal>
            <c:numRef>
              <c:f>comparaison!$N$39:$O$39</c:f>
              <c:numCache>
                <c:formatCode>General</c:formatCode>
                <c:ptCount val="2"/>
                <c:pt idx="0">
                  <c:v>26.69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08-4704-A6F9-22F795114722}"/>
            </c:ext>
          </c:extLst>
        </c:ser>
        <c:ser>
          <c:idx val="2"/>
          <c:order val="2"/>
          <c:tx>
            <c:v>damien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comparaison!$N$41:$O$41</c:f>
              <c:numCache>
                <c:formatCode>General</c:formatCode>
                <c:ptCount val="2"/>
                <c:pt idx="0">
                  <c:v>0</c:v>
                </c:pt>
                <c:pt idx="1">
                  <c:v>3.57</c:v>
                </c:pt>
              </c:numCache>
            </c:numRef>
          </c:xVal>
          <c:yVal>
            <c:numRef>
              <c:f>comparaison!$N$42:$O$42</c:f>
              <c:numCache>
                <c:formatCode>General</c:formatCode>
                <c:ptCount val="2"/>
                <c:pt idx="0">
                  <c:v>25.49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08-4704-A6F9-22F795114722}"/>
            </c:ext>
          </c:extLst>
        </c:ser>
        <c:ser>
          <c:idx val="3"/>
          <c:order val="3"/>
          <c:tx>
            <c:v>mathis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comparaison!$N$44:$O$44</c:f>
              <c:numCache>
                <c:formatCode>General</c:formatCode>
                <c:ptCount val="2"/>
                <c:pt idx="0">
                  <c:v>0</c:v>
                </c:pt>
                <c:pt idx="1">
                  <c:v>1.24</c:v>
                </c:pt>
              </c:numCache>
            </c:numRef>
          </c:xVal>
          <c:yVal>
            <c:numRef>
              <c:f>comparaison!$N$45:$O$45</c:f>
              <c:numCache>
                <c:formatCode>General</c:formatCode>
                <c:ptCount val="2"/>
                <c:pt idx="0">
                  <c:v>20.02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08-4704-A6F9-22F795114722}"/>
            </c:ext>
          </c:extLst>
        </c:ser>
        <c:ser>
          <c:idx val="4"/>
          <c:order val="4"/>
          <c:tx>
            <c:v>arthur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comparaison!$N$47:$O$47</c:f>
              <c:numCache>
                <c:formatCode>General</c:formatCode>
                <c:ptCount val="2"/>
                <c:pt idx="0">
                  <c:v>0</c:v>
                </c:pt>
                <c:pt idx="1">
                  <c:v>0.74</c:v>
                </c:pt>
              </c:numCache>
            </c:numRef>
          </c:xVal>
          <c:yVal>
            <c:numRef>
              <c:f>comparaison!$N$48:$O$48</c:f>
              <c:numCache>
                <c:formatCode>General</c:formatCode>
                <c:ptCount val="2"/>
                <c:pt idx="0">
                  <c:v>18.22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08-4704-A6F9-22F795114722}"/>
            </c:ext>
          </c:extLst>
        </c:ser>
        <c:ser>
          <c:idx val="5"/>
          <c:order val="5"/>
          <c:tx>
            <c:v>etienne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comparaison!$N$50:$O$50</c:f>
              <c:numCache>
                <c:formatCode>General</c:formatCode>
                <c:ptCount val="2"/>
                <c:pt idx="0">
                  <c:v>0</c:v>
                </c:pt>
                <c:pt idx="1">
                  <c:v>1.2</c:v>
                </c:pt>
              </c:numCache>
            </c:numRef>
          </c:xVal>
          <c:yVal>
            <c:numRef>
              <c:f>comparaison!$N$51:$O$51</c:f>
              <c:numCache>
                <c:formatCode>General</c:formatCode>
                <c:ptCount val="2"/>
                <c:pt idx="0">
                  <c:v>19.88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08-4704-A6F9-22F795114722}"/>
            </c:ext>
          </c:extLst>
        </c:ser>
        <c:ser>
          <c:idx val="6"/>
          <c:order val="6"/>
          <c:tx>
            <c:v>julien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comparaison!$N$53:$O$53</c:f>
              <c:numCache>
                <c:formatCode>General</c:formatCode>
                <c:ptCount val="2"/>
                <c:pt idx="0">
                  <c:v>0</c:v>
                </c:pt>
                <c:pt idx="1">
                  <c:v>0.55000000000000004</c:v>
                </c:pt>
              </c:numCache>
            </c:numRef>
          </c:xVal>
          <c:yVal>
            <c:numRef>
              <c:f>comparaison!$N$54:$O$54</c:f>
              <c:numCache>
                <c:formatCode>General</c:formatCode>
                <c:ptCount val="2"/>
                <c:pt idx="0">
                  <c:v>13.52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F08-4704-A6F9-22F795114722}"/>
            </c:ext>
          </c:extLst>
        </c:ser>
        <c:ser>
          <c:idx val="7"/>
          <c:order val="7"/>
          <c:tx>
            <c:v>baptiste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comparaison!$N$56:$O$56</c:f>
              <c:numCache>
                <c:formatCode>General</c:formatCode>
                <c:ptCount val="2"/>
                <c:pt idx="0">
                  <c:v>0</c:v>
                </c:pt>
                <c:pt idx="1">
                  <c:v>0.86</c:v>
                </c:pt>
              </c:numCache>
            </c:numRef>
          </c:xVal>
          <c:yVal>
            <c:numRef>
              <c:f>comparaison!$N$57:$O$57</c:f>
              <c:numCache>
                <c:formatCode>General</c:formatCode>
                <c:ptCount val="2"/>
                <c:pt idx="0">
                  <c:v>18.43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F08-4704-A6F9-22F795114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1680"/>
        <c:axId val="48777840"/>
      </c:scatterChart>
      <c:valAx>
        <c:axId val="48781680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 en m/s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77840"/>
        <c:crosses val="autoZero"/>
        <c:crossBetween val="midCat"/>
        <c:majorUnit val="0.5"/>
      </c:valAx>
      <c:valAx>
        <c:axId val="48777840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 en N/kg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878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3</xdr:row>
      <xdr:rowOff>95250</xdr:rowOff>
    </xdr:from>
    <xdr:to>
      <xdr:col>11</xdr:col>
      <xdr:colOff>76200</xdr:colOff>
      <xdr:row>18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66A9F1-6A4B-2A51-DDE6-51F288FF1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7</xdr:row>
      <xdr:rowOff>11430</xdr:rowOff>
    </xdr:from>
    <xdr:to>
      <xdr:col>11</xdr:col>
      <xdr:colOff>304800</xdr:colOff>
      <xdr:row>22</xdr:row>
      <xdr:rowOff>11430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50AECA-EC9A-E313-7C35-8CC62BA94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632460</xdr:colOff>
      <xdr:row>3</xdr:row>
      <xdr:rowOff>148590</xdr:rowOff>
    </xdr:from>
    <xdr:to>
      <xdr:col>10</xdr:col>
      <xdr:colOff>449580</xdr:colOff>
      <xdr:row>18</xdr:row>
      <xdr:rowOff>148590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BBB498B-75E1-F719-563D-191A70677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4</xdr:row>
      <xdr:rowOff>26670</xdr:rowOff>
    </xdr:from>
    <xdr:to>
      <xdr:col>10</xdr:col>
      <xdr:colOff>114300</xdr:colOff>
      <xdr:row>19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8703B84-1C9D-A73A-FFD4-A1A6E80EA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3</xdr:row>
      <xdr:rowOff>125730</xdr:rowOff>
    </xdr:from>
    <xdr:to>
      <xdr:col>9</xdr:col>
      <xdr:colOff>754380</xdr:colOff>
      <xdr:row>18</xdr:row>
      <xdr:rowOff>125730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170642-8773-93A6-1990-89DB24775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3</xdr:row>
      <xdr:rowOff>179070</xdr:rowOff>
    </xdr:from>
    <xdr:to>
      <xdr:col>10</xdr:col>
      <xdr:colOff>190500</xdr:colOff>
      <xdr:row>18</xdr:row>
      <xdr:rowOff>179070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1205C6F-6216-5F2F-18F2-3C2237780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662940</xdr:colOff>
      <xdr:row>3</xdr:row>
      <xdr:rowOff>34290</xdr:rowOff>
    </xdr:from>
    <xdr:to>
      <xdr:col>9</xdr:col>
      <xdr:colOff>480060</xdr:colOff>
      <xdr:row>18</xdr:row>
      <xdr:rowOff>34290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104CED-D10C-FA82-3825-D95446CC0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655320</xdr:colOff>
      <xdr:row>4</xdr:row>
      <xdr:rowOff>3810</xdr:rowOff>
    </xdr:from>
    <xdr:to>
      <xdr:col>10</xdr:col>
      <xdr:colOff>472440</xdr:colOff>
      <xdr:row>19</xdr:row>
      <xdr:rowOff>3810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828CF26-6A0D-88E2-67DB-AE009BEE6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5</xdr:row>
      <xdr:rowOff>80010</xdr:rowOff>
    </xdr:from>
    <xdr:to>
      <xdr:col>11</xdr:col>
      <xdr:colOff>655320</xdr:colOff>
      <xdr:row>20</xdr:row>
      <xdr:rowOff>80010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AA61AB-CD2C-CA8D-878C-155FACF63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51662</xdr:colOff>
      <xdr:row>1</xdr:row>
      <xdr:rowOff>90407</xdr:rowOff>
    </xdr:from>
    <xdr:to>
      <xdr:col>5</xdr:col>
      <xdr:colOff>661261</xdr:colOff>
      <xdr:row>16</xdr:row>
      <xdr:rowOff>90407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4F2B626-5DF4-4390-B0D1-9C8D3DA23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655062</xdr:colOff>
      <xdr:row>1</xdr:row>
      <xdr:rowOff>89761</xdr:rowOff>
    </xdr:from>
    <xdr:to>
      <xdr:col>11</xdr:col>
      <xdr:colOff>476831</xdr:colOff>
      <xdr:row>16</xdr:row>
      <xdr:rowOff>89761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EC51A03-0ECD-46A3-9478-4C01BDC51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51662</xdr:colOff>
      <xdr:row>16</xdr:row>
      <xdr:rowOff>77492</xdr:rowOff>
    </xdr:from>
    <xdr:to>
      <xdr:col>5</xdr:col>
      <xdr:colOff>661261</xdr:colOff>
      <xdr:row>31</xdr:row>
      <xdr:rowOff>77492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F8A2CE4-E659-4179-89E9-10EF4BE4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658678</xdr:colOff>
      <xdr:row>16</xdr:row>
      <xdr:rowOff>77492</xdr:rowOff>
    </xdr:from>
    <xdr:to>
      <xdr:col>11</xdr:col>
      <xdr:colOff>480447</xdr:colOff>
      <xdr:row>31</xdr:row>
      <xdr:rowOff>77492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A619D20-AA59-410C-A80E-E51E4CD80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477865</xdr:colOff>
      <xdr:row>1</xdr:row>
      <xdr:rowOff>90406</xdr:rowOff>
    </xdr:from>
    <xdr:to>
      <xdr:col>17</xdr:col>
      <xdr:colOff>299634</xdr:colOff>
      <xdr:row>16</xdr:row>
      <xdr:rowOff>90406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D070993-5BB5-4C6A-B4FA-EF4EEAD71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477864</xdr:colOff>
      <xdr:row>16</xdr:row>
      <xdr:rowOff>77492</xdr:rowOff>
    </xdr:from>
    <xdr:to>
      <xdr:col>17</xdr:col>
      <xdr:colOff>299633</xdr:colOff>
      <xdr:row>31</xdr:row>
      <xdr:rowOff>77492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FDF1D59-BC3B-4700-9339-114D0413D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51662</xdr:colOff>
      <xdr:row>31</xdr:row>
      <xdr:rowOff>77491</xdr:rowOff>
    </xdr:from>
    <xdr:to>
      <xdr:col>5</xdr:col>
      <xdr:colOff>661261</xdr:colOff>
      <xdr:row>46</xdr:row>
      <xdr:rowOff>77491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6A3AD38-4FBD-4A7C-999D-A5384BCF6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658678</xdr:colOff>
      <xdr:row>31</xdr:row>
      <xdr:rowOff>64576</xdr:rowOff>
    </xdr:from>
    <xdr:to>
      <xdr:col>11</xdr:col>
      <xdr:colOff>480447</xdr:colOff>
      <xdr:row>46</xdr:row>
      <xdr:rowOff>64576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676A5401-1A6E-43E7-9EE5-20DF5A942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333119</xdr:colOff>
      <xdr:row>40</xdr:row>
      <xdr:rowOff>19254</xdr:rowOff>
    </xdr:from>
    <xdr:to>
      <xdr:col>22</xdr:col>
      <xdr:colOff>178465</xdr:colOff>
      <xdr:row>54</xdr:row>
      <xdr:rowOff>179695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D0AA9C9-7196-FB81-8AA9-EDB8A1214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0E3F-A4C4-45C0-A700-18AC4BCA2AEC}">
  <dimension ref="A1:S9"/>
  <sheetViews>
    <sheetView zoomScale="75" workbookViewId="0">
      <selection activeCell="G17" sqref="G17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75</v>
      </c>
      <c r="E2">
        <v>0.27</v>
      </c>
      <c r="F2" t="s">
        <v>22</v>
      </c>
      <c r="G2">
        <v>18.43</v>
      </c>
      <c r="H2">
        <v>-0.86</v>
      </c>
      <c r="I2">
        <v>-3.95</v>
      </c>
      <c r="J2">
        <v>27.39</v>
      </c>
      <c r="K2" t="s">
        <v>23</v>
      </c>
      <c r="L2">
        <v>38.909999999999997</v>
      </c>
      <c r="M2">
        <v>30.76</v>
      </c>
      <c r="N2">
        <v>23.52</v>
      </c>
      <c r="O2">
        <v>17.670000000000002</v>
      </c>
      <c r="P2">
        <v>75</v>
      </c>
      <c r="Q2">
        <v>82.5</v>
      </c>
      <c r="R2">
        <v>92.5</v>
      </c>
      <c r="S2">
        <v>102.5</v>
      </c>
    </row>
    <row r="3" spans="1:19" x14ac:dyDescent="0.3">
      <c r="A3" t="s">
        <v>24</v>
      </c>
      <c r="B3" t="s">
        <v>20</v>
      </c>
      <c r="C3" t="s">
        <v>25</v>
      </c>
      <c r="D3">
        <v>101</v>
      </c>
      <c r="E3">
        <v>0.27</v>
      </c>
      <c r="F3" t="s">
        <v>22</v>
      </c>
      <c r="G3">
        <v>13.52</v>
      </c>
      <c r="H3">
        <v>-0.55000000000000004</v>
      </c>
      <c r="I3">
        <v>-1.87</v>
      </c>
      <c r="J3">
        <v>54.92</v>
      </c>
      <c r="K3" t="s">
        <v>23</v>
      </c>
      <c r="L3">
        <v>37.71</v>
      </c>
      <c r="M3">
        <v>24.01</v>
      </c>
      <c r="N3">
        <v>22.19</v>
      </c>
      <c r="O3">
        <v>20.95</v>
      </c>
      <c r="P3">
        <v>101</v>
      </c>
      <c r="Q3">
        <v>108.5</v>
      </c>
      <c r="R3">
        <v>118.5</v>
      </c>
      <c r="S3">
        <v>128.5</v>
      </c>
    </row>
    <row r="4" spans="1:19" x14ac:dyDescent="0.3">
      <c r="A4" t="s">
        <v>26</v>
      </c>
      <c r="B4" t="s">
        <v>20</v>
      </c>
      <c r="C4" t="s">
        <v>27</v>
      </c>
      <c r="D4">
        <v>93</v>
      </c>
      <c r="E4">
        <v>0.3</v>
      </c>
      <c r="F4" t="s">
        <v>22</v>
      </c>
      <c r="G4">
        <v>19.88</v>
      </c>
      <c r="H4">
        <v>-1.2</v>
      </c>
      <c r="I4">
        <v>-5.99</v>
      </c>
      <c r="J4">
        <v>26.39</v>
      </c>
      <c r="K4" t="s">
        <v>23</v>
      </c>
      <c r="L4">
        <v>33.369999999999997</v>
      </c>
      <c r="M4">
        <v>24.92</v>
      </c>
      <c r="N4">
        <v>20.91</v>
      </c>
      <c r="O4">
        <v>17.670000000000002</v>
      </c>
      <c r="P4">
        <v>93</v>
      </c>
      <c r="Q4">
        <v>100.5</v>
      </c>
      <c r="R4">
        <v>110.5</v>
      </c>
      <c r="S4">
        <v>120.5</v>
      </c>
    </row>
    <row r="5" spans="1:19" x14ac:dyDescent="0.3">
      <c r="A5" t="s">
        <v>28</v>
      </c>
      <c r="B5" t="s">
        <v>20</v>
      </c>
      <c r="C5" t="s">
        <v>29</v>
      </c>
      <c r="D5">
        <v>70</v>
      </c>
      <c r="E5">
        <v>0.47</v>
      </c>
      <c r="F5" t="s">
        <v>22</v>
      </c>
      <c r="G5">
        <v>25.49</v>
      </c>
      <c r="H5">
        <v>-3.57</v>
      </c>
      <c r="I5">
        <v>-22.73</v>
      </c>
      <c r="J5">
        <v>45.23</v>
      </c>
      <c r="K5" t="s">
        <v>23</v>
      </c>
      <c r="L5">
        <v>38.909999999999997</v>
      </c>
      <c r="M5">
        <v>27.72</v>
      </c>
      <c r="N5">
        <v>23.07</v>
      </c>
      <c r="O5">
        <v>19.25</v>
      </c>
      <c r="P5">
        <v>70</v>
      </c>
      <c r="Q5">
        <v>77.5</v>
      </c>
      <c r="R5">
        <v>87.5</v>
      </c>
      <c r="S5">
        <v>97.5</v>
      </c>
    </row>
    <row r="6" spans="1:19" x14ac:dyDescent="0.3">
      <c r="A6" t="s">
        <v>30</v>
      </c>
      <c r="B6" t="s">
        <v>20</v>
      </c>
      <c r="C6" t="s">
        <v>31</v>
      </c>
      <c r="D6">
        <v>80</v>
      </c>
      <c r="E6">
        <v>0.27</v>
      </c>
      <c r="F6" t="s">
        <v>22</v>
      </c>
      <c r="G6">
        <v>18.22</v>
      </c>
      <c r="H6">
        <v>-0.74</v>
      </c>
      <c r="I6">
        <v>-3.35</v>
      </c>
      <c r="J6">
        <v>25.66</v>
      </c>
      <c r="K6" t="s">
        <v>23</v>
      </c>
      <c r="L6">
        <v>52.61</v>
      </c>
      <c r="M6">
        <v>41.25</v>
      </c>
      <c r="N6">
        <v>35.479999999999997</v>
      </c>
      <c r="O6">
        <v>29.19</v>
      </c>
      <c r="P6">
        <v>80</v>
      </c>
      <c r="Q6">
        <v>87.5</v>
      </c>
      <c r="R6">
        <v>97.5</v>
      </c>
      <c r="S6">
        <v>107.5</v>
      </c>
    </row>
    <row r="7" spans="1:19" x14ac:dyDescent="0.3">
      <c r="A7" t="s">
        <v>32</v>
      </c>
      <c r="B7" t="s">
        <v>20</v>
      </c>
      <c r="C7" t="s">
        <v>33</v>
      </c>
      <c r="D7">
        <v>80</v>
      </c>
      <c r="E7">
        <v>0.28999999999999998</v>
      </c>
      <c r="F7" t="s">
        <v>22</v>
      </c>
      <c r="G7">
        <v>20.02</v>
      </c>
      <c r="H7">
        <v>-1.24</v>
      </c>
      <c r="I7">
        <v>-6.21</v>
      </c>
      <c r="J7">
        <v>27.33</v>
      </c>
      <c r="K7" t="s">
        <v>23</v>
      </c>
      <c r="L7">
        <v>30.2</v>
      </c>
      <c r="M7">
        <v>21.8</v>
      </c>
      <c r="N7">
        <v>17.670000000000002</v>
      </c>
      <c r="O7">
        <v>12.66</v>
      </c>
      <c r="P7">
        <v>80</v>
      </c>
      <c r="Q7">
        <v>87.5</v>
      </c>
      <c r="R7">
        <v>97.5</v>
      </c>
      <c r="S7">
        <v>107.5</v>
      </c>
    </row>
    <row r="8" spans="1:19" x14ac:dyDescent="0.3">
      <c r="A8" t="s">
        <v>34</v>
      </c>
      <c r="B8" t="s">
        <v>20</v>
      </c>
      <c r="C8" t="s">
        <v>35</v>
      </c>
      <c r="D8">
        <v>63</v>
      </c>
      <c r="E8">
        <v>0.53</v>
      </c>
      <c r="F8" t="s">
        <v>22</v>
      </c>
      <c r="G8">
        <v>26.69</v>
      </c>
      <c r="H8">
        <v>-3.31</v>
      </c>
      <c r="I8">
        <v>-22.08</v>
      </c>
      <c r="J8">
        <v>34.869999999999997</v>
      </c>
      <c r="K8" t="s">
        <v>23</v>
      </c>
      <c r="L8">
        <v>56.7</v>
      </c>
      <c r="M8">
        <v>43.05</v>
      </c>
      <c r="N8">
        <v>34.93</v>
      </c>
      <c r="O8">
        <v>28.25</v>
      </c>
      <c r="P8">
        <v>63</v>
      </c>
      <c r="Q8">
        <v>70.5</v>
      </c>
      <c r="R8">
        <v>80.5</v>
      </c>
      <c r="S8">
        <v>90.5</v>
      </c>
    </row>
    <row r="9" spans="1:19" x14ac:dyDescent="0.3">
      <c r="A9" t="s">
        <v>36</v>
      </c>
      <c r="B9" t="s">
        <v>20</v>
      </c>
      <c r="C9" t="s">
        <v>37</v>
      </c>
      <c r="D9">
        <v>80</v>
      </c>
      <c r="E9">
        <v>0.42</v>
      </c>
      <c r="F9" t="s">
        <v>22</v>
      </c>
      <c r="G9">
        <v>22.01</v>
      </c>
      <c r="H9">
        <v>-2.0699999999999998</v>
      </c>
      <c r="I9">
        <v>-11.39</v>
      </c>
      <c r="J9">
        <v>31.57</v>
      </c>
      <c r="K9" t="s">
        <v>23</v>
      </c>
      <c r="L9">
        <v>36.090000000000003</v>
      </c>
      <c r="M9">
        <v>25.85</v>
      </c>
      <c r="N9">
        <v>22.63</v>
      </c>
      <c r="O9">
        <v>15.42</v>
      </c>
      <c r="P9">
        <v>80</v>
      </c>
      <c r="Q9">
        <v>87.5</v>
      </c>
      <c r="R9">
        <v>97.5</v>
      </c>
      <c r="S9">
        <v>107.5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449C-6178-47CE-A68E-E38BAB5CDE62}">
  <dimension ref="A1:S26"/>
  <sheetViews>
    <sheetView tabSelected="1" zoomScale="86" workbookViewId="0">
      <selection activeCell="M24" sqref="M24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75</v>
      </c>
      <c r="E2">
        <v>0.27</v>
      </c>
      <c r="F2" t="s">
        <v>22</v>
      </c>
      <c r="G2">
        <v>18.43</v>
      </c>
      <c r="H2">
        <v>-0.86</v>
      </c>
      <c r="I2">
        <v>-3.95</v>
      </c>
      <c r="J2">
        <v>27.39</v>
      </c>
      <c r="K2" t="s">
        <v>23</v>
      </c>
      <c r="L2">
        <v>38.909999999999997</v>
      </c>
      <c r="M2">
        <v>30.76</v>
      </c>
      <c r="N2">
        <v>23.52</v>
      </c>
      <c r="O2">
        <v>17.670000000000002</v>
      </c>
      <c r="P2">
        <v>75</v>
      </c>
      <c r="Q2">
        <v>82.5</v>
      </c>
      <c r="R2">
        <v>92.5</v>
      </c>
      <c r="S2">
        <v>102.5</v>
      </c>
    </row>
    <row r="3" spans="1:19" x14ac:dyDescent="0.3">
      <c r="A3" t="s">
        <v>49</v>
      </c>
      <c r="B3" t="s">
        <v>20</v>
      </c>
      <c r="C3" t="s">
        <v>21</v>
      </c>
      <c r="D3">
        <v>75</v>
      </c>
      <c r="E3">
        <v>0.27</v>
      </c>
      <c r="F3" t="s">
        <v>22</v>
      </c>
      <c r="G3">
        <v>13.62</v>
      </c>
      <c r="H3">
        <v>-0.51</v>
      </c>
      <c r="I3">
        <v>-1.73</v>
      </c>
      <c r="J3">
        <v>53.91</v>
      </c>
      <c r="K3" t="s">
        <v>23</v>
      </c>
      <c r="L3">
        <v>49.32</v>
      </c>
      <c r="M3">
        <v>32.31</v>
      </c>
      <c r="N3">
        <v>28.7</v>
      </c>
      <c r="O3">
        <v>21.76</v>
      </c>
      <c r="P3">
        <v>75</v>
      </c>
      <c r="Q3">
        <v>82.5</v>
      </c>
      <c r="R3">
        <v>92.5</v>
      </c>
      <c r="S3">
        <v>102.5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18.43</v>
      </c>
      <c r="C6">
        <v>0</v>
      </c>
    </row>
    <row r="7" spans="1:19" x14ac:dyDescent="0.3">
      <c r="B7">
        <v>0</v>
      </c>
      <c r="C7">
        <v>0.86</v>
      </c>
    </row>
    <row r="24" spans="2:3" x14ac:dyDescent="0.3">
      <c r="B24" t="s">
        <v>38</v>
      </c>
      <c r="C24" t="s">
        <v>39</v>
      </c>
    </row>
    <row r="25" spans="2:3" x14ac:dyDescent="0.3">
      <c r="B25">
        <v>13.62</v>
      </c>
      <c r="C25">
        <v>0</v>
      </c>
    </row>
    <row r="26" spans="2:3" x14ac:dyDescent="0.3">
      <c r="B26">
        <v>0</v>
      </c>
      <c r="C26">
        <v>0.51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6D3F-225E-4EF5-B877-D65F2CA1674B}">
  <dimension ref="A1:S24"/>
  <sheetViews>
    <sheetView zoomScale="72" workbookViewId="0">
      <selection activeCell="L29" sqref="L29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24</v>
      </c>
      <c r="B2" t="s">
        <v>20</v>
      </c>
      <c r="C2" t="s">
        <v>25</v>
      </c>
      <c r="D2">
        <v>101</v>
      </c>
      <c r="E2">
        <v>0.27</v>
      </c>
      <c r="F2" t="s">
        <v>22</v>
      </c>
      <c r="G2">
        <v>13.52</v>
      </c>
      <c r="H2">
        <v>-0.55000000000000004</v>
      </c>
      <c r="I2">
        <v>-1.87</v>
      </c>
      <c r="J2">
        <v>54.92</v>
      </c>
      <c r="K2" t="s">
        <v>23</v>
      </c>
      <c r="L2">
        <v>37.71</v>
      </c>
      <c r="M2">
        <v>24.01</v>
      </c>
      <c r="N2">
        <v>22.19</v>
      </c>
      <c r="O2">
        <v>20.95</v>
      </c>
      <c r="P2">
        <v>101</v>
      </c>
      <c r="Q2">
        <v>108.5</v>
      </c>
      <c r="R2">
        <v>118.5</v>
      </c>
      <c r="S2">
        <v>128.5</v>
      </c>
    </row>
    <row r="3" spans="1:19" x14ac:dyDescent="0.3">
      <c r="A3" t="s">
        <v>50</v>
      </c>
      <c r="B3" t="s">
        <v>20</v>
      </c>
      <c r="C3" t="s">
        <v>25</v>
      </c>
      <c r="D3">
        <v>95</v>
      </c>
      <c r="E3">
        <v>0.27</v>
      </c>
      <c r="F3" t="s">
        <v>22</v>
      </c>
      <c r="G3">
        <v>15.06</v>
      </c>
      <c r="H3">
        <v>-0.66</v>
      </c>
      <c r="I3">
        <v>-2.4700000000000002</v>
      </c>
      <c r="J3">
        <v>45.96</v>
      </c>
      <c r="K3" t="s">
        <v>23</v>
      </c>
      <c r="L3">
        <v>36.65</v>
      </c>
      <c r="M3">
        <v>23.52</v>
      </c>
      <c r="N3">
        <v>22.63</v>
      </c>
      <c r="O3">
        <v>18.45</v>
      </c>
      <c r="P3">
        <v>95</v>
      </c>
      <c r="Q3">
        <v>102.5</v>
      </c>
      <c r="R3">
        <v>112.5</v>
      </c>
      <c r="S3">
        <v>122.5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0.55000000000000004</v>
      </c>
    </row>
    <row r="7" spans="1:19" x14ac:dyDescent="0.3">
      <c r="B7">
        <v>13.52</v>
      </c>
      <c r="C7">
        <v>0</v>
      </c>
    </row>
    <row r="22" spans="2:3" x14ac:dyDescent="0.3">
      <c r="B22" t="s">
        <v>38</v>
      </c>
      <c r="C22" t="s">
        <v>39</v>
      </c>
    </row>
    <row r="23" spans="2:3" x14ac:dyDescent="0.3">
      <c r="B23">
        <v>0</v>
      </c>
      <c r="C23">
        <v>0.66</v>
      </c>
    </row>
    <row r="24" spans="2:3" x14ac:dyDescent="0.3">
      <c r="B24">
        <v>15.06</v>
      </c>
      <c r="C24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428D-18E5-486D-8A1D-A3F53B512B79}">
  <dimension ref="A1:S7"/>
  <sheetViews>
    <sheetView workbookViewId="0">
      <selection activeCell="B6" sqref="B6:C7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26</v>
      </c>
      <c r="B2" t="s">
        <v>20</v>
      </c>
      <c r="C2" t="s">
        <v>27</v>
      </c>
      <c r="D2">
        <v>93</v>
      </c>
      <c r="E2">
        <v>0.3</v>
      </c>
      <c r="F2" t="s">
        <v>22</v>
      </c>
      <c r="G2">
        <v>19.88</v>
      </c>
      <c r="H2">
        <v>-1.2</v>
      </c>
      <c r="I2">
        <v>-5.99</v>
      </c>
      <c r="J2">
        <v>26.39</v>
      </c>
      <c r="K2" t="s">
        <v>23</v>
      </c>
      <c r="L2">
        <v>33.369999999999997</v>
      </c>
      <c r="M2">
        <v>24.92</v>
      </c>
      <c r="N2">
        <v>20.91</v>
      </c>
      <c r="O2">
        <v>17.670000000000002</v>
      </c>
      <c r="P2">
        <v>93</v>
      </c>
      <c r="Q2">
        <v>100.5</v>
      </c>
      <c r="R2">
        <v>110.5</v>
      </c>
      <c r="S2">
        <v>120.5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1.2</v>
      </c>
    </row>
    <row r="7" spans="1:19" x14ac:dyDescent="0.3">
      <c r="B7">
        <v>19.88</v>
      </c>
      <c r="C7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586-6F72-49A6-A3A7-D39DEAA027D6}">
  <dimension ref="A1:S25"/>
  <sheetViews>
    <sheetView zoomScale="68" workbookViewId="0">
      <selection activeCell="M10" sqref="M10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28</v>
      </c>
      <c r="B2" t="s">
        <v>20</v>
      </c>
      <c r="C2" t="s">
        <v>29</v>
      </c>
      <c r="D2">
        <v>70</v>
      </c>
      <c r="E2">
        <v>0.47</v>
      </c>
      <c r="F2" t="s">
        <v>22</v>
      </c>
      <c r="G2">
        <v>25.49</v>
      </c>
      <c r="H2">
        <v>-3.57</v>
      </c>
      <c r="I2">
        <v>-22.73</v>
      </c>
      <c r="J2">
        <v>45.23</v>
      </c>
      <c r="K2" t="s">
        <v>23</v>
      </c>
      <c r="L2">
        <v>38.909999999999997</v>
      </c>
      <c r="M2">
        <v>27.72</v>
      </c>
      <c r="N2">
        <v>23.07</v>
      </c>
      <c r="O2">
        <v>19.25</v>
      </c>
      <c r="P2">
        <v>70</v>
      </c>
      <c r="Q2">
        <v>77.5</v>
      </c>
      <c r="R2">
        <v>87.5</v>
      </c>
      <c r="S2">
        <v>97.5</v>
      </c>
    </row>
    <row r="3" spans="1:19" x14ac:dyDescent="0.3">
      <c r="A3" t="s">
        <v>51</v>
      </c>
      <c r="B3" t="s">
        <v>20</v>
      </c>
      <c r="C3" t="s">
        <v>29</v>
      </c>
      <c r="D3">
        <v>70</v>
      </c>
      <c r="E3">
        <v>0.47</v>
      </c>
      <c r="F3" t="s">
        <v>22</v>
      </c>
      <c r="G3">
        <v>26.72</v>
      </c>
      <c r="H3">
        <v>-3.91</v>
      </c>
      <c r="I3">
        <v>-26.15</v>
      </c>
      <c r="J3">
        <v>47.29</v>
      </c>
      <c r="K3" t="s">
        <v>23</v>
      </c>
      <c r="L3">
        <v>41.19</v>
      </c>
      <c r="M3">
        <v>31.74</v>
      </c>
      <c r="N3">
        <v>24.42</v>
      </c>
      <c r="O3">
        <v>22.63</v>
      </c>
      <c r="P3">
        <v>70</v>
      </c>
      <c r="Q3">
        <v>77.5</v>
      </c>
      <c r="R3">
        <v>87.5</v>
      </c>
      <c r="S3">
        <v>97.5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3.57</v>
      </c>
    </row>
    <row r="7" spans="1:19" x14ac:dyDescent="0.3">
      <c r="B7">
        <v>25.49</v>
      </c>
      <c r="C7">
        <v>0</v>
      </c>
    </row>
    <row r="21" spans="1:19" x14ac:dyDescent="0.3">
      <c r="A21" t="s">
        <v>51</v>
      </c>
      <c r="B21" t="s">
        <v>20</v>
      </c>
      <c r="C21" t="s">
        <v>29</v>
      </c>
      <c r="D21">
        <v>70</v>
      </c>
      <c r="E21">
        <v>0.47</v>
      </c>
      <c r="F21" t="s">
        <v>22</v>
      </c>
      <c r="G21">
        <v>26.72</v>
      </c>
      <c r="H21">
        <v>-3.91</v>
      </c>
      <c r="I21">
        <v>-26.15</v>
      </c>
      <c r="J21">
        <v>47.29</v>
      </c>
      <c r="K21" t="s">
        <v>23</v>
      </c>
      <c r="L21">
        <v>41.19</v>
      </c>
      <c r="M21">
        <v>31.74</v>
      </c>
      <c r="N21">
        <v>24.42</v>
      </c>
      <c r="O21">
        <v>22.63</v>
      </c>
      <c r="P21">
        <v>70</v>
      </c>
      <c r="Q21">
        <v>77.5</v>
      </c>
      <c r="R21">
        <v>87.5</v>
      </c>
      <c r="S21">
        <v>97.5</v>
      </c>
    </row>
    <row r="23" spans="1:19" x14ac:dyDescent="0.3">
      <c r="B23" t="s">
        <v>38</v>
      </c>
      <c r="C23" t="s">
        <v>39</v>
      </c>
    </row>
    <row r="24" spans="1:19" x14ac:dyDescent="0.3">
      <c r="B24">
        <v>0</v>
      </c>
      <c r="C24">
        <v>3.91</v>
      </c>
    </row>
    <row r="25" spans="1:19" x14ac:dyDescent="0.3">
      <c r="B25">
        <v>26.72</v>
      </c>
      <c r="C2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334A-A544-468E-B6A1-6DF74149A5DA}">
  <dimension ref="A1:S25"/>
  <sheetViews>
    <sheetView zoomScale="90" zoomScaleNormal="90" workbookViewId="0">
      <selection activeCell="L24" sqref="L24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30</v>
      </c>
      <c r="B2" t="s">
        <v>20</v>
      </c>
      <c r="C2" t="s">
        <v>31</v>
      </c>
      <c r="D2">
        <v>80</v>
      </c>
      <c r="E2">
        <v>0.27</v>
      </c>
      <c r="F2" t="s">
        <v>22</v>
      </c>
      <c r="G2">
        <v>18.22</v>
      </c>
      <c r="H2">
        <v>-0.74</v>
      </c>
      <c r="I2">
        <v>-3.35</v>
      </c>
      <c r="J2">
        <v>25.66</v>
      </c>
      <c r="K2" t="s">
        <v>23</v>
      </c>
      <c r="L2">
        <v>52.61</v>
      </c>
      <c r="M2">
        <v>41.25</v>
      </c>
      <c r="N2">
        <v>35.479999999999997</v>
      </c>
      <c r="O2">
        <v>29.19</v>
      </c>
      <c r="P2">
        <v>80</v>
      </c>
      <c r="Q2">
        <v>87.5</v>
      </c>
      <c r="R2">
        <v>97.5</v>
      </c>
      <c r="S2">
        <v>107.5</v>
      </c>
    </row>
    <row r="3" spans="1:19" x14ac:dyDescent="0.3">
      <c r="A3" t="s">
        <v>52</v>
      </c>
      <c r="B3" t="s">
        <v>20</v>
      </c>
      <c r="C3" t="s">
        <v>31</v>
      </c>
      <c r="D3">
        <v>80</v>
      </c>
      <c r="E3">
        <v>0.27</v>
      </c>
      <c r="F3" t="s">
        <v>22</v>
      </c>
      <c r="G3">
        <v>17.88</v>
      </c>
      <c r="H3">
        <v>-0.71</v>
      </c>
      <c r="I3">
        <v>-3.19</v>
      </c>
      <c r="J3">
        <v>27.55</v>
      </c>
      <c r="K3" t="s">
        <v>23</v>
      </c>
      <c r="L3">
        <v>51.94</v>
      </c>
      <c r="M3">
        <v>43.66</v>
      </c>
      <c r="N3">
        <v>35.54</v>
      </c>
      <c r="O3">
        <v>28.25</v>
      </c>
      <c r="P3">
        <v>80</v>
      </c>
      <c r="Q3">
        <v>87.5</v>
      </c>
      <c r="R3">
        <v>97.5</v>
      </c>
      <c r="S3">
        <v>107.5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0.74</v>
      </c>
    </row>
    <row r="7" spans="1:19" x14ac:dyDescent="0.3">
      <c r="B7">
        <v>18.22</v>
      </c>
      <c r="C7">
        <v>0</v>
      </c>
    </row>
    <row r="21" spans="1:19" x14ac:dyDescent="0.3">
      <c r="A21" t="s">
        <v>52</v>
      </c>
      <c r="B21" t="s">
        <v>20</v>
      </c>
      <c r="C21" t="s">
        <v>31</v>
      </c>
      <c r="D21">
        <v>80</v>
      </c>
      <c r="E21">
        <v>0.27</v>
      </c>
      <c r="F21" t="s">
        <v>22</v>
      </c>
      <c r="G21">
        <v>17.88</v>
      </c>
      <c r="H21">
        <v>-0.71</v>
      </c>
      <c r="I21">
        <v>-3.19</v>
      </c>
      <c r="J21">
        <v>27.55</v>
      </c>
      <c r="K21" t="s">
        <v>23</v>
      </c>
      <c r="L21">
        <v>51.94</v>
      </c>
      <c r="M21">
        <v>43.66</v>
      </c>
      <c r="N21">
        <v>35.54</v>
      </c>
      <c r="O21">
        <v>28.25</v>
      </c>
      <c r="P21">
        <v>80</v>
      </c>
      <c r="Q21">
        <v>87.5</v>
      </c>
      <c r="R21">
        <v>97.5</v>
      </c>
      <c r="S21">
        <v>107.5</v>
      </c>
    </row>
    <row r="23" spans="1:19" x14ac:dyDescent="0.3">
      <c r="B23" t="s">
        <v>38</v>
      </c>
      <c r="C23" t="s">
        <v>39</v>
      </c>
    </row>
    <row r="24" spans="1:19" x14ac:dyDescent="0.3">
      <c r="B24">
        <v>0</v>
      </c>
      <c r="C24">
        <v>0.71</v>
      </c>
    </row>
    <row r="25" spans="1:19" x14ac:dyDescent="0.3">
      <c r="B25">
        <v>17.88</v>
      </c>
      <c r="C2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A341-258D-4DD7-99DC-4D50BCAFD848}">
  <dimension ref="A1:S24"/>
  <sheetViews>
    <sheetView zoomScale="86" workbookViewId="0">
      <selection activeCell="D14" sqref="D14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32</v>
      </c>
      <c r="B2" t="s">
        <v>20</v>
      </c>
      <c r="C2" t="s">
        <v>33</v>
      </c>
      <c r="D2">
        <v>80</v>
      </c>
      <c r="E2">
        <v>0.28999999999999998</v>
      </c>
      <c r="F2" t="s">
        <v>22</v>
      </c>
      <c r="G2">
        <v>20.02</v>
      </c>
      <c r="H2">
        <v>-1.24</v>
      </c>
      <c r="I2">
        <v>-6.21</v>
      </c>
      <c r="J2">
        <v>27.33</v>
      </c>
      <c r="K2" t="s">
        <v>23</v>
      </c>
      <c r="L2">
        <v>30.2</v>
      </c>
      <c r="M2">
        <v>21.8</v>
      </c>
      <c r="N2">
        <v>17.670000000000002</v>
      </c>
      <c r="O2">
        <v>12.66</v>
      </c>
      <c r="P2">
        <v>80</v>
      </c>
      <c r="Q2">
        <v>87.5</v>
      </c>
      <c r="R2">
        <v>97.5</v>
      </c>
      <c r="S2">
        <v>107.5</v>
      </c>
    </row>
    <row r="3" spans="1:19" x14ac:dyDescent="0.3">
      <c r="A3" t="s">
        <v>53</v>
      </c>
      <c r="B3" t="s">
        <v>20</v>
      </c>
      <c r="C3" t="s">
        <v>33</v>
      </c>
      <c r="D3">
        <v>80</v>
      </c>
      <c r="E3">
        <v>0.28999999999999998</v>
      </c>
      <c r="F3" t="s">
        <v>22</v>
      </c>
      <c r="G3">
        <v>19.86</v>
      </c>
      <c r="H3">
        <v>-1.17</v>
      </c>
      <c r="I3">
        <v>-5.82</v>
      </c>
      <c r="J3">
        <v>26.16</v>
      </c>
      <c r="K3" t="s">
        <v>23</v>
      </c>
      <c r="L3">
        <v>32.840000000000003</v>
      </c>
      <c r="M3">
        <v>23.52</v>
      </c>
      <c r="N3">
        <v>19.7</v>
      </c>
      <c r="O3">
        <v>14.7</v>
      </c>
      <c r="P3">
        <v>80</v>
      </c>
      <c r="Q3">
        <v>87.5</v>
      </c>
      <c r="R3">
        <v>97.5</v>
      </c>
      <c r="S3">
        <v>107.5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1.24</v>
      </c>
    </row>
    <row r="7" spans="1:19" x14ac:dyDescent="0.3">
      <c r="B7">
        <v>20.02</v>
      </c>
      <c r="C7">
        <v>0</v>
      </c>
    </row>
    <row r="22" spans="2:3" x14ac:dyDescent="0.3">
      <c r="B22" t="s">
        <v>38</v>
      </c>
      <c r="C22" t="s">
        <v>39</v>
      </c>
    </row>
    <row r="23" spans="2:3" x14ac:dyDescent="0.3">
      <c r="B23">
        <v>0</v>
      </c>
      <c r="C23">
        <v>1.17</v>
      </c>
    </row>
    <row r="24" spans="2:3" x14ac:dyDescent="0.3">
      <c r="B24">
        <v>19.86</v>
      </c>
      <c r="C24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26F-0BF9-4DA1-BDA4-5D69CA048763}">
  <dimension ref="A1:S7"/>
  <sheetViews>
    <sheetView workbookViewId="0">
      <selection activeCell="B6" sqref="B6:C7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34</v>
      </c>
      <c r="B2" t="s">
        <v>20</v>
      </c>
      <c r="C2" t="s">
        <v>35</v>
      </c>
      <c r="D2">
        <v>63</v>
      </c>
      <c r="E2">
        <v>0.53</v>
      </c>
      <c r="F2" t="s">
        <v>22</v>
      </c>
      <c r="G2">
        <v>26.69</v>
      </c>
      <c r="H2">
        <v>-3.31</v>
      </c>
      <c r="I2">
        <v>-22.08</v>
      </c>
      <c r="J2">
        <v>34.869999999999997</v>
      </c>
      <c r="K2" t="s">
        <v>23</v>
      </c>
      <c r="L2">
        <v>56.7</v>
      </c>
      <c r="M2">
        <v>43.05</v>
      </c>
      <c r="N2">
        <v>34.93</v>
      </c>
      <c r="O2">
        <v>28.25</v>
      </c>
      <c r="P2">
        <v>63</v>
      </c>
      <c r="Q2">
        <v>70.5</v>
      </c>
      <c r="R2">
        <v>80.5</v>
      </c>
      <c r="S2">
        <v>90.5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3.31</v>
      </c>
    </row>
    <row r="7" spans="1:19" x14ac:dyDescent="0.3">
      <c r="B7">
        <v>26.69</v>
      </c>
      <c r="C7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42A46-CFEB-4A3B-BB5D-DD0C7076A577}">
  <dimension ref="A1:S26"/>
  <sheetViews>
    <sheetView zoomScale="87" workbookViewId="0">
      <selection activeCell="L13" sqref="L13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36</v>
      </c>
      <c r="B2" t="s">
        <v>20</v>
      </c>
      <c r="C2" t="s">
        <v>37</v>
      </c>
      <c r="D2">
        <v>80</v>
      </c>
      <c r="E2">
        <v>0.42</v>
      </c>
      <c r="F2" t="s">
        <v>22</v>
      </c>
      <c r="G2">
        <v>22.01</v>
      </c>
      <c r="H2">
        <v>-2.0699999999999998</v>
      </c>
      <c r="I2">
        <v>-11.39</v>
      </c>
      <c r="J2">
        <v>31.57</v>
      </c>
      <c r="K2" t="s">
        <v>23</v>
      </c>
      <c r="L2">
        <v>36.090000000000003</v>
      </c>
      <c r="M2">
        <v>25.85</v>
      </c>
      <c r="N2">
        <v>22.63</v>
      </c>
      <c r="O2">
        <v>15.42</v>
      </c>
      <c r="P2">
        <v>80</v>
      </c>
      <c r="Q2">
        <v>87.5</v>
      </c>
      <c r="R2">
        <v>97.5</v>
      </c>
      <c r="S2">
        <v>107.5</v>
      </c>
    </row>
    <row r="3" spans="1:19" x14ac:dyDescent="0.3">
      <c r="A3" t="s">
        <v>54</v>
      </c>
      <c r="B3" t="s">
        <v>20</v>
      </c>
      <c r="C3" t="s">
        <v>37</v>
      </c>
      <c r="D3">
        <v>80</v>
      </c>
      <c r="E3">
        <v>0.42</v>
      </c>
      <c r="F3" t="s">
        <v>22</v>
      </c>
      <c r="G3">
        <v>17.760000000000002</v>
      </c>
      <c r="H3">
        <v>-1.17</v>
      </c>
      <c r="I3">
        <v>-5.19</v>
      </c>
      <c r="J3">
        <v>33.520000000000003</v>
      </c>
      <c r="K3" t="s">
        <v>23</v>
      </c>
      <c r="L3">
        <v>46.13</v>
      </c>
      <c r="M3">
        <v>28.75</v>
      </c>
      <c r="N3">
        <v>23.07</v>
      </c>
      <c r="O3">
        <v>18.059999999999999</v>
      </c>
      <c r="P3">
        <v>80</v>
      </c>
      <c r="Q3">
        <v>87.5</v>
      </c>
      <c r="R3">
        <v>97.5</v>
      </c>
      <c r="S3">
        <v>107.5</v>
      </c>
    </row>
    <row r="5" spans="1:19" x14ac:dyDescent="0.3">
      <c r="B5" t="s">
        <v>38</v>
      </c>
      <c r="C5" t="s">
        <v>39</v>
      </c>
      <c r="D5" t="s">
        <v>40</v>
      </c>
    </row>
    <row r="6" spans="1:19" x14ac:dyDescent="0.3">
      <c r="B6">
        <v>0</v>
      </c>
      <c r="C6">
        <v>2.0699999999999998</v>
      </c>
    </row>
    <row r="7" spans="1:19" x14ac:dyDescent="0.3">
      <c r="B7">
        <v>22.01</v>
      </c>
      <c r="C7">
        <v>0</v>
      </c>
    </row>
    <row r="20" spans="1:19" x14ac:dyDescent="0.3">
      <c r="B20" t="s">
        <v>38</v>
      </c>
      <c r="C20" t="s">
        <v>39</v>
      </c>
    </row>
    <row r="21" spans="1:19" x14ac:dyDescent="0.3">
      <c r="B21">
        <v>0</v>
      </c>
      <c r="C21">
        <v>1.17</v>
      </c>
    </row>
    <row r="22" spans="1:19" x14ac:dyDescent="0.3">
      <c r="B22">
        <v>17.760000000000002</v>
      </c>
      <c r="C22">
        <v>0</v>
      </c>
    </row>
    <row r="26" spans="1:19" x14ac:dyDescent="0.3">
      <c r="A26" t="s">
        <v>54</v>
      </c>
      <c r="B26" t="s">
        <v>20</v>
      </c>
      <c r="C26" t="s">
        <v>37</v>
      </c>
      <c r="D26">
        <v>80</v>
      </c>
      <c r="E26">
        <v>0.42</v>
      </c>
      <c r="F26" t="s">
        <v>22</v>
      </c>
      <c r="G26">
        <v>17.760000000000002</v>
      </c>
      <c r="H26">
        <v>-1.17</v>
      </c>
      <c r="I26">
        <v>-5.19</v>
      </c>
      <c r="J26">
        <v>33.520000000000003</v>
      </c>
      <c r="K26" t="s">
        <v>23</v>
      </c>
      <c r="L26">
        <v>46.13</v>
      </c>
      <c r="M26">
        <v>28.75</v>
      </c>
      <c r="N26">
        <v>23.07</v>
      </c>
      <c r="O26">
        <v>18.059999999999999</v>
      </c>
      <c r="P26">
        <v>80</v>
      </c>
      <c r="Q26">
        <v>87.5</v>
      </c>
      <c r="R26">
        <v>97.5</v>
      </c>
      <c r="S26">
        <v>107.5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7996-E93C-4760-8FB2-2E27AA3E3767}">
  <dimension ref="A1:S7"/>
  <sheetViews>
    <sheetView workbookViewId="0">
      <selection activeCell="M16" sqref="M16"/>
    </sheetView>
  </sheetViews>
  <sheetFormatPr baseColWidth="10" defaultRowHeight="14.4" x14ac:dyDescent="0.3"/>
  <sheetData>
    <row r="1" spans="1:19" x14ac:dyDescent="0.3">
      <c r="A1" t="s">
        <v>55</v>
      </c>
      <c r="B1" t="s">
        <v>20</v>
      </c>
      <c r="C1" t="s">
        <v>56</v>
      </c>
      <c r="D1">
        <v>79</v>
      </c>
      <c r="E1">
        <v>0.2</v>
      </c>
      <c r="F1" t="s">
        <v>22</v>
      </c>
      <c r="G1">
        <v>10.92</v>
      </c>
      <c r="H1">
        <v>-0.28999999999999998</v>
      </c>
      <c r="I1">
        <v>-0.8</v>
      </c>
      <c r="J1">
        <v>69.430000000000007</v>
      </c>
      <c r="K1" t="s">
        <v>23</v>
      </c>
      <c r="L1">
        <v>53.96</v>
      </c>
      <c r="M1">
        <v>41.25</v>
      </c>
      <c r="N1">
        <v>33.85</v>
      </c>
      <c r="O1">
        <v>29.19</v>
      </c>
      <c r="P1">
        <v>79</v>
      </c>
      <c r="Q1">
        <v>86.5</v>
      </c>
      <c r="R1">
        <v>96.5</v>
      </c>
      <c r="S1">
        <v>106.5</v>
      </c>
    </row>
    <row r="5" spans="1:19" x14ac:dyDescent="0.3">
      <c r="B5" t="s">
        <v>38</v>
      </c>
      <c r="C5" t="s">
        <v>39</v>
      </c>
    </row>
    <row r="6" spans="1:19" x14ac:dyDescent="0.3">
      <c r="B6">
        <v>0</v>
      </c>
      <c r="C6">
        <v>0.28999999999999998</v>
      </c>
    </row>
    <row r="7" spans="1:19" x14ac:dyDescent="0.3">
      <c r="B7">
        <v>10.92</v>
      </c>
      <c r="C7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05C3-991F-4FBE-AE97-A5C7A4DA2FD1}">
  <dimension ref="N34:O57"/>
  <sheetViews>
    <sheetView topLeftCell="N40" zoomScale="153" zoomScaleNormal="62" workbookViewId="0">
      <selection activeCell="W42" sqref="W42"/>
    </sheetView>
  </sheetViews>
  <sheetFormatPr baseColWidth="10" defaultRowHeight="14.4" x14ac:dyDescent="0.3"/>
  <sheetData>
    <row r="34" spans="14:15" x14ac:dyDescent="0.3">
      <c r="N34" t="s">
        <v>41</v>
      </c>
    </row>
    <row r="35" spans="14:15" x14ac:dyDescent="0.3">
      <c r="N35">
        <v>0</v>
      </c>
      <c r="O35">
        <v>2.0699999999999998</v>
      </c>
    </row>
    <row r="36" spans="14:15" x14ac:dyDescent="0.3">
      <c r="N36">
        <v>22.01</v>
      </c>
      <c r="O36">
        <v>0</v>
      </c>
    </row>
    <row r="37" spans="14:15" x14ac:dyDescent="0.3">
      <c r="N37" t="s">
        <v>42</v>
      </c>
    </row>
    <row r="38" spans="14:15" x14ac:dyDescent="0.3">
      <c r="N38">
        <v>0</v>
      </c>
      <c r="O38">
        <v>3.31</v>
      </c>
    </row>
    <row r="39" spans="14:15" x14ac:dyDescent="0.3">
      <c r="N39">
        <v>26.69</v>
      </c>
      <c r="O39">
        <v>0</v>
      </c>
    </row>
    <row r="40" spans="14:15" x14ac:dyDescent="0.3">
      <c r="N40" t="s">
        <v>43</v>
      </c>
    </row>
    <row r="41" spans="14:15" x14ac:dyDescent="0.3">
      <c r="N41">
        <v>0</v>
      </c>
      <c r="O41">
        <v>3.57</v>
      </c>
    </row>
    <row r="42" spans="14:15" x14ac:dyDescent="0.3">
      <c r="N42">
        <v>25.49</v>
      </c>
      <c r="O42">
        <v>0</v>
      </c>
    </row>
    <row r="43" spans="14:15" x14ac:dyDescent="0.3">
      <c r="N43" t="s">
        <v>44</v>
      </c>
    </row>
    <row r="44" spans="14:15" x14ac:dyDescent="0.3">
      <c r="N44">
        <v>0</v>
      </c>
      <c r="O44">
        <v>1.24</v>
      </c>
    </row>
    <row r="45" spans="14:15" x14ac:dyDescent="0.3">
      <c r="N45">
        <v>20.02</v>
      </c>
      <c r="O45">
        <v>0</v>
      </c>
    </row>
    <row r="46" spans="14:15" x14ac:dyDescent="0.3">
      <c r="N46" t="s">
        <v>45</v>
      </c>
    </row>
    <row r="47" spans="14:15" x14ac:dyDescent="0.3">
      <c r="N47">
        <v>0</v>
      </c>
      <c r="O47">
        <v>0.74</v>
      </c>
    </row>
    <row r="48" spans="14:15" x14ac:dyDescent="0.3">
      <c r="N48">
        <v>18.22</v>
      </c>
      <c r="O48">
        <v>0</v>
      </c>
    </row>
    <row r="49" spans="14:15" x14ac:dyDescent="0.3">
      <c r="N49" t="s">
        <v>46</v>
      </c>
    </row>
    <row r="50" spans="14:15" x14ac:dyDescent="0.3">
      <c r="N50">
        <v>0</v>
      </c>
      <c r="O50">
        <v>1.2</v>
      </c>
    </row>
    <row r="51" spans="14:15" x14ac:dyDescent="0.3">
      <c r="N51">
        <v>19.88</v>
      </c>
      <c r="O51">
        <v>0</v>
      </c>
    </row>
    <row r="52" spans="14:15" x14ac:dyDescent="0.3">
      <c r="N52" t="s">
        <v>47</v>
      </c>
    </row>
    <row r="53" spans="14:15" x14ac:dyDescent="0.3">
      <c r="N53">
        <v>0</v>
      </c>
      <c r="O53">
        <v>0.55000000000000004</v>
      </c>
    </row>
    <row r="54" spans="14:15" x14ac:dyDescent="0.3">
      <c r="N54">
        <v>13.52</v>
      </c>
      <c r="O54">
        <v>0</v>
      </c>
    </row>
    <row r="55" spans="14:15" x14ac:dyDescent="0.3">
      <c r="N55" t="s">
        <v>48</v>
      </c>
    </row>
    <row r="56" spans="14:15" x14ac:dyDescent="0.3">
      <c r="N56">
        <v>0</v>
      </c>
      <c r="O56">
        <v>0.86</v>
      </c>
    </row>
    <row r="57" spans="14:15" x14ac:dyDescent="0.3">
      <c r="N57">
        <v>18.43</v>
      </c>
      <c r="O5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MyJumpLab_MyJump03</vt:lpstr>
      <vt:lpstr>Bouchet Baptiste</vt:lpstr>
      <vt:lpstr>Boudeville Julien</vt:lpstr>
      <vt:lpstr>Chauvin Ã‰tienne</vt:lpstr>
      <vt:lpstr>Damien</vt:lpstr>
      <vt:lpstr>Germaneau Arthur</vt:lpstr>
      <vt:lpstr>Renault Mathis</vt:lpstr>
      <vt:lpstr>Thibault Laulanet </vt:lpstr>
      <vt:lpstr>tinael</vt:lpstr>
      <vt:lpstr>MJ</vt:lpstr>
      <vt:lpstr>comparaison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Justinien Quaresma</dc:creator>
  <cp:lastModifiedBy>Justinien Quaresma</cp:lastModifiedBy>
  <dcterms:created xsi:type="dcterms:W3CDTF">2025-03-04T15:42:42Z</dcterms:created>
  <dcterms:modified xsi:type="dcterms:W3CDTF">2025-05-07T13:56:46Z</dcterms:modified>
</cp:coreProperties>
</file>