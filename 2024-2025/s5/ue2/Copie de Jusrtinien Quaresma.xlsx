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9f5f05c1031a064/Bureau/2024-2025/s5/ue2/"/>
    </mc:Choice>
  </mc:AlternateContent>
  <xr:revisionPtr revIDLastSave="0" documentId="8_{A7EA9850-2F1B-4C6E-AA43-A0ECBEC8F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4" i="1"/>
  <c r="F5" i="1"/>
  <c r="F6" i="1" s="1"/>
  <c r="F7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4" i="1"/>
  <c r="E5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E1" i="1"/>
  <c r="C1" i="1"/>
  <c r="O3" i="1"/>
  <c r="AA3" i="1" s="1"/>
  <c r="AA2" i="1" l="1"/>
  <c r="AT1" i="1"/>
  <c r="AT2" i="1" s="1"/>
  <c r="R2" i="1"/>
  <c r="R3" i="1"/>
</calcChain>
</file>

<file path=xl/sharedStrings.xml><?xml version="1.0" encoding="utf-8"?>
<sst xmlns="http://schemas.openxmlformats.org/spreadsheetml/2006/main" count="15" uniqueCount="15">
  <si>
    <t>Temps (s)</t>
  </si>
  <si>
    <t>Force (N)</t>
  </si>
  <si>
    <t>P+F</t>
  </si>
  <si>
    <t>dVz (m/s)</t>
  </si>
  <si>
    <t>Vz(m/s)</t>
  </si>
  <si>
    <t>Puissance (W)</t>
  </si>
  <si>
    <t>Position (m)</t>
  </si>
  <si>
    <t>Masse=</t>
  </si>
  <si>
    <t>Poids=</t>
  </si>
  <si>
    <t>Fmax=</t>
  </si>
  <si>
    <t>Pmax=</t>
  </si>
  <si>
    <t>DV=</t>
  </si>
  <si>
    <t>hp0=</t>
  </si>
  <si>
    <t>détente</t>
  </si>
  <si>
    <t>ligne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</si>
</sst>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Feuil1!$A$3:$A$2900</c:f>
              <c:numCache>
                <c:formatCode>General</c:formatCode>
                <c:ptCount val="289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</c:v>
                </c:pt>
                <c:pt idx="432">
                  <c:v>2.1599999999999899</c:v>
                </c:pt>
                <c:pt idx="433">
                  <c:v>2.1649999999999898</c:v>
                </c:pt>
                <c:pt idx="434">
                  <c:v>2.1699999999999902</c:v>
                </c:pt>
                <c:pt idx="435">
                  <c:v>2.1749999999999901</c:v>
                </c:pt>
                <c:pt idx="436">
                  <c:v>2.1799999999999899</c:v>
                </c:pt>
                <c:pt idx="437">
                  <c:v>2.1849999999999898</c:v>
                </c:pt>
                <c:pt idx="438">
                  <c:v>2.1899999999999902</c:v>
                </c:pt>
                <c:pt idx="439">
                  <c:v>2.1949999999999901</c:v>
                </c:pt>
                <c:pt idx="440">
                  <c:v>2.19999999999999</c:v>
                </c:pt>
                <c:pt idx="441">
                  <c:v>2.2049999999999899</c:v>
                </c:pt>
                <c:pt idx="442">
                  <c:v>2.2099999999999902</c:v>
                </c:pt>
                <c:pt idx="443">
                  <c:v>2.2149999999999901</c:v>
                </c:pt>
                <c:pt idx="444">
                  <c:v>2.21999999999999</c:v>
                </c:pt>
                <c:pt idx="445">
                  <c:v>2.2249999999999899</c:v>
                </c:pt>
                <c:pt idx="446">
                  <c:v>2.2299999999999902</c:v>
                </c:pt>
                <c:pt idx="447">
                  <c:v>2.2349999999999901</c:v>
                </c:pt>
                <c:pt idx="448">
                  <c:v>2.23999999999999</c:v>
                </c:pt>
                <c:pt idx="449">
                  <c:v>2.2449999999999899</c:v>
                </c:pt>
                <c:pt idx="450">
                  <c:v>2.2499999999999898</c:v>
                </c:pt>
                <c:pt idx="451">
                  <c:v>2.2549999999999901</c:v>
                </c:pt>
                <c:pt idx="452">
                  <c:v>2.25999999999999</c:v>
                </c:pt>
                <c:pt idx="453">
                  <c:v>2.2649999999999899</c:v>
                </c:pt>
                <c:pt idx="454">
                  <c:v>2.2699999999999898</c:v>
                </c:pt>
                <c:pt idx="455">
                  <c:v>2.2749999999999901</c:v>
                </c:pt>
                <c:pt idx="456">
                  <c:v>2.27999999999999</c:v>
                </c:pt>
                <c:pt idx="457">
                  <c:v>2.2849999999999899</c:v>
                </c:pt>
                <c:pt idx="458">
                  <c:v>2.2899999999999898</c:v>
                </c:pt>
                <c:pt idx="459">
                  <c:v>2.2949999999999902</c:v>
                </c:pt>
                <c:pt idx="460">
                  <c:v>2.2999999999999901</c:v>
                </c:pt>
                <c:pt idx="461">
                  <c:v>2.3049999999999899</c:v>
                </c:pt>
                <c:pt idx="462">
                  <c:v>2.3099999999999898</c:v>
                </c:pt>
                <c:pt idx="463">
                  <c:v>2.3149999999999902</c:v>
                </c:pt>
                <c:pt idx="464">
                  <c:v>2.3199999999999901</c:v>
                </c:pt>
                <c:pt idx="465">
                  <c:v>2.32499999999999</c:v>
                </c:pt>
                <c:pt idx="466">
                  <c:v>2.3299999999999899</c:v>
                </c:pt>
                <c:pt idx="467">
                  <c:v>2.3349999999999902</c:v>
                </c:pt>
                <c:pt idx="468">
                  <c:v>2.3399999999999901</c:v>
                </c:pt>
                <c:pt idx="469">
                  <c:v>2.34499999999999</c:v>
                </c:pt>
                <c:pt idx="470">
                  <c:v>2.3499999999999899</c:v>
                </c:pt>
                <c:pt idx="471">
                  <c:v>2.3549999999999902</c:v>
                </c:pt>
                <c:pt idx="472">
                  <c:v>2.3599999999999901</c:v>
                </c:pt>
                <c:pt idx="473">
                  <c:v>2.36499999999999</c:v>
                </c:pt>
                <c:pt idx="474">
                  <c:v>2.3699999999999899</c:v>
                </c:pt>
                <c:pt idx="475">
                  <c:v>2.3749999999999898</c:v>
                </c:pt>
                <c:pt idx="476">
                  <c:v>2.3799999999999901</c:v>
                </c:pt>
                <c:pt idx="477">
                  <c:v>2.38499999999999</c:v>
                </c:pt>
                <c:pt idx="478">
                  <c:v>2.3899999999999899</c:v>
                </c:pt>
                <c:pt idx="479">
                  <c:v>2.3949999999999898</c:v>
                </c:pt>
                <c:pt idx="480">
                  <c:v>2.3999999999999901</c:v>
                </c:pt>
                <c:pt idx="481">
                  <c:v>2.40499999999999</c:v>
                </c:pt>
                <c:pt idx="482">
                  <c:v>2.4099999999999899</c:v>
                </c:pt>
                <c:pt idx="483">
                  <c:v>2.4149999999999898</c:v>
                </c:pt>
                <c:pt idx="484">
                  <c:v>2.4199999999999902</c:v>
                </c:pt>
                <c:pt idx="485">
                  <c:v>2.4249999999999901</c:v>
                </c:pt>
                <c:pt idx="486">
                  <c:v>2.4299999999999899</c:v>
                </c:pt>
                <c:pt idx="487">
                  <c:v>2.4349999999999898</c:v>
                </c:pt>
                <c:pt idx="488">
                  <c:v>2.4399999999999902</c:v>
                </c:pt>
                <c:pt idx="489">
                  <c:v>2.4449999999999901</c:v>
                </c:pt>
                <c:pt idx="490">
                  <c:v>2.44999999999999</c:v>
                </c:pt>
                <c:pt idx="491">
                  <c:v>2.4549999999999899</c:v>
                </c:pt>
                <c:pt idx="492">
                  <c:v>2.4599999999999902</c:v>
                </c:pt>
                <c:pt idx="493">
                  <c:v>2.4649999999999901</c:v>
                </c:pt>
                <c:pt idx="494">
                  <c:v>2.46999999999999</c:v>
                </c:pt>
                <c:pt idx="495">
                  <c:v>2.4749999999999899</c:v>
                </c:pt>
                <c:pt idx="496">
                  <c:v>2.4799999999999902</c:v>
                </c:pt>
                <c:pt idx="497">
                  <c:v>2.4849999999999901</c:v>
                </c:pt>
                <c:pt idx="498">
                  <c:v>2.48999999999999</c:v>
                </c:pt>
                <c:pt idx="499">
                  <c:v>2.4949999999999899</c:v>
                </c:pt>
                <c:pt idx="500">
                  <c:v>2.4999999999999898</c:v>
                </c:pt>
                <c:pt idx="501">
                  <c:v>2.5049999999999901</c:v>
                </c:pt>
                <c:pt idx="502">
                  <c:v>2.50999999999999</c:v>
                </c:pt>
                <c:pt idx="503">
                  <c:v>2.5149999999999899</c:v>
                </c:pt>
                <c:pt idx="504">
                  <c:v>2.5199999999999898</c:v>
                </c:pt>
                <c:pt idx="505">
                  <c:v>2.5249999999999901</c:v>
                </c:pt>
                <c:pt idx="506">
                  <c:v>2.52999999999999</c:v>
                </c:pt>
                <c:pt idx="507">
                  <c:v>2.5349999999999899</c:v>
                </c:pt>
                <c:pt idx="508">
                  <c:v>2.5399999999999898</c:v>
                </c:pt>
                <c:pt idx="509">
                  <c:v>2.5449999999999902</c:v>
                </c:pt>
                <c:pt idx="510">
                  <c:v>2.5499999999999901</c:v>
                </c:pt>
                <c:pt idx="511">
                  <c:v>2.5549999999999899</c:v>
                </c:pt>
                <c:pt idx="512">
                  <c:v>2.5599999999999898</c:v>
                </c:pt>
                <c:pt idx="513">
                  <c:v>2.5649999999999902</c:v>
                </c:pt>
                <c:pt idx="514">
                  <c:v>2.5699999999999901</c:v>
                </c:pt>
                <c:pt idx="515">
                  <c:v>2.57499999999999</c:v>
                </c:pt>
                <c:pt idx="516">
                  <c:v>2.5799999999999899</c:v>
                </c:pt>
              </c:numCache>
            </c:numRef>
          </c:xVal>
          <c:yVal>
            <c:numRef>
              <c:f>Feuil1!$B$3:$B$2900</c:f>
              <c:numCache>
                <c:formatCode>General</c:formatCode>
                <c:ptCount val="2898"/>
                <c:pt idx="0">
                  <c:v>682.25</c:v>
                </c:pt>
                <c:pt idx="1">
                  <c:v>681.65</c:v>
                </c:pt>
                <c:pt idx="2">
                  <c:v>681.11</c:v>
                </c:pt>
                <c:pt idx="3">
                  <c:v>681.22</c:v>
                </c:pt>
                <c:pt idx="4">
                  <c:v>681.41</c:v>
                </c:pt>
                <c:pt idx="5">
                  <c:v>681.3</c:v>
                </c:pt>
                <c:pt idx="6">
                  <c:v>681.55</c:v>
                </c:pt>
                <c:pt idx="7">
                  <c:v>682.02</c:v>
                </c:pt>
                <c:pt idx="8">
                  <c:v>682.59</c:v>
                </c:pt>
                <c:pt idx="9">
                  <c:v>682.81</c:v>
                </c:pt>
                <c:pt idx="10">
                  <c:v>683.13</c:v>
                </c:pt>
                <c:pt idx="11">
                  <c:v>683.3</c:v>
                </c:pt>
                <c:pt idx="12">
                  <c:v>683.49</c:v>
                </c:pt>
                <c:pt idx="13">
                  <c:v>683.54</c:v>
                </c:pt>
                <c:pt idx="14">
                  <c:v>683.3</c:v>
                </c:pt>
                <c:pt idx="15">
                  <c:v>682.97</c:v>
                </c:pt>
                <c:pt idx="16">
                  <c:v>682.97</c:v>
                </c:pt>
                <c:pt idx="17">
                  <c:v>682.67</c:v>
                </c:pt>
                <c:pt idx="18">
                  <c:v>682.72</c:v>
                </c:pt>
                <c:pt idx="19">
                  <c:v>682.28</c:v>
                </c:pt>
                <c:pt idx="20">
                  <c:v>682.07</c:v>
                </c:pt>
                <c:pt idx="21">
                  <c:v>681.77</c:v>
                </c:pt>
                <c:pt idx="22">
                  <c:v>681.22</c:v>
                </c:pt>
                <c:pt idx="23">
                  <c:v>681.16</c:v>
                </c:pt>
                <c:pt idx="24">
                  <c:v>681.03</c:v>
                </c:pt>
                <c:pt idx="25">
                  <c:v>680.88</c:v>
                </c:pt>
                <c:pt idx="26">
                  <c:v>680.96</c:v>
                </c:pt>
                <c:pt idx="27">
                  <c:v>681.07</c:v>
                </c:pt>
                <c:pt idx="28">
                  <c:v>681.03</c:v>
                </c:pt>
                <c:pt idx="29">
                  <c:v>681.31</c:v>
                </c:pt>
                <c:pt idx="30">
                  <c:v>681.71</c:v>
                </c:pt>
                <c:pt idx="31">
                  <c:v>681.71</c:v>
                </c:pt>
                <c:pt idx="32">
                  <c:v>681.95</c:v>
                </c:pt>
                <c:pt idx="33">
                  <c:v>682.63</c:v>
                </c:pt>
                <c:pt idx="34">
                  <c:v>683.3</c:v>
                </c:pt>
                <c:pt idx="35">
                  <c:v>684.37</c:v>
                </c:pt>
                <c:pt idx="36">
                  <c:v>685.07</c:v>
                </c:pt>
                <c:pt idx="37">
                  <c:v>685.31</c:v>
                </c:pt>
                <c:pt idx="38">
                  <c:v>685.36</c:v>
                </c:pt>
                <c:pt idx="39">
                  <c:v>684.87</c:v>
                </c:pt>
                <c:pt idx="40">
                  <c:v>685.33</c:v>
                </c:pt>
                <c:pt idx="41">
                  <c:v>684.98</c:v>
                </c:pt>
                <c:pt idx="42">
                  <c:v>684.43</c:v>
                </c:pt>
                <c:pt idx="43">
                  <c:v>684.67</c:v>
                </c:pt>
                <c:pt idx="44">
                  <c:v>684.2</c:v>
                </c:pt>
                <c:pt idx="45">
                  <c:v>683.76</c:v>
                </c:pt>
                <c:pt idx="46">
                  <c:v>682.72</c:v>
                </c:pt>
                <c:pt idx="47">
                  <c:v>681.29</c:v>
                </c:pt>
                <c:pt idx="48">
                  <c:v>681.07</c:v>
                </c:pt>
                <c:pt idx="49">
                  <c:v>681.19</c:v>
                </c:pt>
                <c:pt idx="50">
                  <c:v>681.53</c:v>
                </c:pt>
                <c:pt idx="51">
                  <c:v>682.29</c:v>
                </c:pt>
                <c:pt idx="52">
                  <c:v>682.86</c:v>
                </c:pt>
                <c:pt idx="53">
                  <c:v>683.02</c:v>
                </c:pt>
                <c:pt idx="54">
                  <c:v>682.28</c:v>
                </c:pt>
                <c:pt idx="55">
                  <c:v>680.93</c:v>
                </c:pt>
                <c:pt idx="56">
                  <c:v>679.55</c:v>
                </c:pt>
                <c:pt idx="57">
                  <c:v>676.27</c:v>
                </c:pt>
                <c:pt idx="58">
                  <c:v>674.91</c:v>
                </c:pt>
                <c:pt idx="59">
                  <c:v>670.33</c:v>
                </c:pt>
                <c:pt idx="60">
                  <c:v>665.84</c:v>
                </c:pt>
                <c:pt idx="61">
                  <c:v>662.25</c:v>
                </c:pt>
                <c:pt idx="62">
                  <c:v>656.96</c:v>
                </c:pt>
                <c:pt idx="63">
                  <c:v>653.69000000000005</c:v>
                </c:pt>
                <c:pt idx="64">
                  <c:v>650.11</c:v>
                </c:pt>
                <c:pt idx="65">
                  <c:v>645.34</c:v>
                </c:pt>
                <c:pt idx="66">
                  <c:v>643.25</c:v>
                </c:pt>
                <c:pt idx="67">
                  <c:v>641.30999999999995</c:v>
                </c:pt>
                <c:pt idx="68">
                  <c:v>639.16</c:v>
                </c:pt>
                <c:pt idx="69">
                  <c:v>639.87</c:v>
                </c:pt>
                <c:pt idx="70">
                  <c:v>635.02</c:v>
                </c:pt>
                <c:pt idx="71">
                  <c:v>628.41999999999996</c:v>
                </c:pt>
                <c:pt idx="72">
                  <c:v>619.27</c:v>
                </c:pt>
                <c:pt idx="73">
                  <c:v>608.25</c:v>
                </c:pt>
                <c:pt idx="74">
                  <c:v>595.57000000000005</c:v>
                </c:pt>
                <c:pt idx="75">
                  <c:v>581.66999999999996</c:v>
                </c:pt>
                <c:pt idx="76">
                  <c:v>572.54</c:v>
                </c:pt>
                <c:pt idx="77">
                  <c:v>557.53</c:v>
                </c:pt>
                <c:pt idx="78">
                  <c:v>541.71</c:v>
                </c:pt>
                <c:pt idx="79">
                  <c:v>531.12</c:v>
                </c:pt>
                <c:pt idx="80">
                  <c:v>515.35</c:v>
                </c:pt>
                <c:pt idx="81">
                  <c:v>499.04</c:v>
                </c:pt>
                <c:pt idx="82">
                  <c:v>483.11</c:v>
                </c:pt>
                <c:pt idx="83">
                  <c:v>474.05</c:v>
                </c:pt>
                <c:pt idx="84">
                  <c:v>460.29</c:v>
                </c:pt>
                <c:pt idx="85">
                  <c:v>448.73</c:v>
                </c:pt>
                <c:pt idx="86">
                  <c:v>441.7</c:v>
                </c:pt>
                <c:pt idx="87">
                  <c:v>431.13</c:v>
                </c:pt>
                <c:pt idx="88">
                  <c:v>422.42</c:v>
                </c:pt>
                <c:pt idx="89">
                  <c:v>415.42</c:v>
                </c:pt>
                <c:pt idx="90">
                  <c:v>410.93</c:v>
                </c:pt>
                <c:pt idx="91">
                  <c:v>407.98</c:v>
                </c:pt>
                <c:pt idx="92">
                  <c:v>404.22</c:v>
                </c:pt>
                <c:pt idx="93">
                  <c:v>402.13</c:v>
                </c:pt>
                <c:pt idx="94">
                  <c:v>398.32</c:v>
                </c:pt>
                <c:pt idx="95">
                  <c:v>396.69</c:v>
                </c:pt>
                <c:pt idx="96">
                  <c:v>404.98</c:v>
                </c:pt>
                <c:pt idx="97">
                  <c:v>406.94</c:v>
                </c:pt>
                <c:pt idx="98">
                  <c:v>408.03</c:v>
                </c:pt>
                <c:pt idx="99">
                  <c:v>396.94</c:v>
                </c:pt>
                <c:pt idx="100">
                  <c:v>397.63</c:v>
                </c:pt>
                <c:pt idx="101">
                  <c:v>395.32</c:v>
                </c:pt>
                <c:pt idx="102">
                  <c:v>389.69</c:v>
                </c:pt>
                <c:pt idx="103">
                  <c:v>382.75</c:v>
                </c:pt>
                <c:pt idx="104">
                  <c:v>374.78</c:v>
                </c:pt>
                <c:pt idx="105">
                  <c:v>368.07</c:v>
                </c:pt>
                <c:pt idx="106">
                  <c:v>363.02</c:v>
                </c:pt>
                <c:pt idx="107">
                  <c:v>360.89</c:v>
                </c:pt>
                <c:pt idx="108">
                  <c:v>359.92</c:v>
                </c:pt>
                <c:pt idx="109">
                  <c:v>353.45</c:v>
                </c:pt>
                <c:pt idx="110">
                  <c:v>352.81</c:v>
                </c:pt>
                <c:pt idx="111">
                  <c:v>348.61</c:v>
                </c:pt>
                <c:pt idx="112">
                  <c:v>346.02</c:v>
                </c:pt>
                <c:pt idx="113">
                  <c:v>338.39</c:v>
                </c:pt>
                <c:pt idx="114">
                  <c:v>338.01</c:v>
                </c:pt>
                <c:pt idx="115">
                  <c:v>335.78</c:v>
                </c:pt>
                <c:pt idx="116">
                  <c:v>334.88</c:v>
                </c:pt>
                <c:pt idx="117">
                  <c:v>334.75</c:v>
                </c:pt>
                <c:pt idx="118">
                  <c:v>340.4</c:v>
                </c:pt>
                <c:pt idx="119">
                  <c:v>343.62</c:v>
                </c:pt>
                <c:pt idx="120">
                  <c:v>350.38</c:v>
                </c:pt>
                <c:pt idx="121">
                  <c:v>355.14</c:v>
                </c:pt>
                <c:pt idx="122">
                  <c:v>356.22</c:v>
                </c:pt>
                <c:pt idx="123">
                  <c:v>356.05</c:v>
                </c:pt>
                <c:pt idx="124">
                  <c:v>356.65</c:v>
                </c:pt>
                <c:pt idx="125">
                  <c:v>360.23</c:v>
                </c:pt>
                <c:pt idx="126">
                  <c:v>364.01</c:v>
                </c:pt>
                <c:pt idx="127">
                  <c:v>375.14</c:v>
                </c:pt>
                <c:pt idx="128">
                  <c:v>383.27</c:v>
                </c:pt>
                <c:pt idx="129">
                  <c:v>396</c:v>
                </c:pt>
                <c:pt idx="130">
                  <c:v>404.28</c:v>
                </c:pt>
                <c:pt idx="131">
                  <c:v>422.9</c:v>
                </c:pt>
                <c:pt idx="132">
                  <c:v>447.9</c:v>
                </c:pt>
                <c:pt idx="133">
                  <c:v>470.06</c:v>
                </c:pt>
                <c:pt idx="134">
                  <c:v>503.13</c:v>
                </c:pt>
                <c:pt idx="135">
                  <c:v>543.12</c:v>
                </c:pt>
                <c:pt idx="136">
                  <c:v>579.71</c:v>
                </c:pt>
                <c:pt idx="137">
                  <c:v>630.20000000000005</c:v>
                </c:pt>
                <c:pt idx="138">
                  <c:v>682.9</c:v>
                </c:pt>
                <c:pt idx="139">
                  <c:v>728.25</c:v>
                </c:pt>
                <c:pt idx="140">
                  <c:v>765.74</c:v>
                </c:pt>
                <c:pt idx="141">
                  <c:v>801.92</c:v>
                </c:pt>
                <c:pt idx="142">
                  <c:v>834.37</c:v>
                </c:pt>
                <c:pt idx="143">
                  <c:v>850.83</c:v>
                </c:pt>
                <c:pt idx="144">
                  <c:v>874.47</c:v>
                </c:pt>
                <c:pt idx="145">
                  <c:v>897.69</c:v>
                </c:pt>
                <c:pt idx="146">
                  <c:v>929.18</c:v>
                </c:pt>
                <c:pt idx="147">
                  <c:v>962.01</c:v>
                </c:pt>
                <c:pt idx="148">
                  <c:v>1001.6</c:v>
                </c:pt>
                <c:pt idx="149">
                  <c:v>1040.46</c:v>
                </c:pt>
                <c:pt idx="150">
                  <c:v>1073.5899999999999</c:v>
                </c:pt>
                <c:pt idx="151">
                  <c:v>1116.1400000000001</c:v>
                </c:pt>
                <c:pt idx="152">
                  <c:v>1162.1400000000001</c:v>
                </c:pt>
                <c:pt idx="153">
                  <c:v>1208.97</c:v>
                </c:pt>
                <c:pt idx="154">
                  <c:v>1246.6300000000001</c:v>
                </c:pt>
                <c:pt idx="155">
                  <c:v>1302.0899999999999</c:v>
                </c:pt>
                <c:pt idx="156">
                  <c:v>1365.87</c:v>
                </c:pt>
                <c:pt idx="157">
                  <c:v>1436.53</c:v>
                </c:pt>
                <c:pt idx="158">
                  <c:v>1506.53</c:v>
                </c:pt>
                <c:pt idx="159">
                  <c:v>1567.46</c:v>
                </c:pt>
                <c:pt idx="160">
                  <c:v>1619.98</c:v>
                </c:pt>
                <c:pt idx="161">
                  <c:v>1644.68</c:v>
                </c:pt>
                <c:pt idx="162">
                  <c:v>1676.98</c:v>
                </c:pt>
                <c:pt idx="163">
                  <c:v>1700.72</c:v>
                </c:pt>
                <c:pt idx="164">
                  <c:v>1720.84</c:v>
                </c:pt>
                <c:pt idx="165">
                  <c:v>1730.49</c:v>
                </c:pt>
                <c:pt idx="166">
                  <c:v>1733.51</c:v>
                </c:pt>
                <c:pt idx="167">
                  <c:v>1735.24</c:v>
                </c:pt>
                <c:pt idx="168">
                  <c:v>1751.33</c:v>
                </c:pt>
                <c:pt idx="169">
                  <c:v>1749.78</c:v>
                </c:pt>
                <c:pt idx="170">
                  <c:v>1747.31</c:v>
                </c:pt>
                <c:pt idx="171">
                  <c:v>1736.26</c:v>
                </c:pt>
                <c:pt idx="172">
                  <c:v>1730.97</c:v>
                </c:pt>
                <c:pt idx="173">
                  <c:v>1723.8</c:v>
                </c:pt>
                <c:pt idx="174">
                  <c:v>1715.78</c:v>
                </c:pt>
                <c:pt idx="175">
                  <c:v>1707.41</c:v>
                </c:pt>
                <c:pt idx="176">
                  <c:v>1695.1</c:v>
                </c:pt>
                <c:pt idx="177">
                  <c:v>1679.14</c:v>
                </c:pt>
                <c:pt idx="178">
                  <c:v>1659.51</c:v>
                </c:pt>
                <c:pt idx="179">
                  <c:v>1639.6</c:v>
                </c:pt>
                <c:pt idx="180">
                  <c:v>1618.07</c:v>
                </c:pt>
                <c:pt idx="181">
                  <c:v>1603.52</c:v>
                </c:pt>
                <c:pt idx="182">
                  <c:v>1582.35</c:v>
                </c:pt>
                <c:pt idx="183">
                  <c:v>1561.33</c:v>
                </c:pt>
                <c:pt idx="184">
                  <c:v>1540.09</c:v>
                </c:pt>
                <c:pt idx="185">
                  <c:v>1526.79</c:v>
                </c:pt>
                <c:pt idx="186">
                  <c:v>1505.57</c:v>
                </c:pt>
                <c:pt idx="187">
                  <c:v>1485.16</c:v>
                </c:pt>
                <c:pt idx="188">
                  <c:v>1466.89</c:v>
                </c:pt>
                <c:pt idx="189">
                  <c:v>1454.46</c:v>
                </c:pt>
                <c:pt idx="190">
                  <c:v>1440.48</c:v>
                </c:pt>
                <c:pt idx="191">
                  <c:v>1429.95</c:v>
                </c:pt>
                <c:pt idx="192">
                  <c:v>1421.65</c:v>
                </c:pt>
                <c:pt idx="193">
                  <c:v>1415.13</c:v>
                </c:pt>
                <c:pt idx="194">
                  <c:v>1409.58</c:v>
                </c:pt>
                <c:pt idx="195">
                  <c:v>1407.13</c:v>
                </c:pt>
                <c:pt idx="196">
                  <c:v>1407.4</c:v>
                </c:pt>
                <c:pt idx="197">
                  <c:v>1407.09</c:v>
                </c:pt>
                <c:pt idx="198">
                  <c:v>1408</c:v>
                </c:pt>
                <c:pt idx="199">
                  <c:v>1411.57</c:v>
                </c:pt>
                <c:pt idx="200">
                  <c:v>1412.65</c:v>
                </c:pt>
                <c:pt idx="201">
                  <c:v>1413.72</c:v>
                </c:pt>
                <c:pt idx="202">
                  <c:v>1411.13</c:v>
                </c:pt>
                <c:pt idx="203">
                  <c:v>1408.65</c:v>
                </c:pt>
                <c:pt idx="204">
                  <c:v>1401.31</c:v>
                </c:pt>
                <c:pt idx="205">
                  <c:v>1389.48</c:v>
                </c:pt>
                <c:pt idx="206">
                  <c:v>1369.83</c:v>
                </c:pt>
                <c:pt idx="207">
                  <c:v>1351.67</c:v>
                </c:pt>
                <c:pt idx="208">
                  <c:v>1317.75</c:v>
                </c:pt>
                <c:pt idx="209">
                  <c:v>1274.48</c:v>
                </c:pt>
                <c:pt idx="210">
                  <c:v>1218.76</c:v>
                </c:pt>
                <c:pt idx="211">
                  <c:v>1148.2</c:v>
                </c:pt>
                <c:pt idx="212">
                  <c:v>1060.1500000000001</c:v>
                </c:pt>
                <c:pt idx="213">
                  <c:v>953.19</c:v>
                </c:pt>
                <c:pt idx="214">
                  <c:v>874.37</c:v>
                </c:pt>
                <c:pt idx="215">
                  <c:v>720.52</c:v>
                </c:pt>
                <c:pt idx="216">
                  <c:v>547.99</c:v>
                </c:pt>
                <c:pt idx="217">
                  <c:v>391.68</c:v>
                </c:pt>
                <c:pt idx="218">
                  <c:v>204.79</c:v>
                </c:pt>
                <c:pt idx="219">
                  <c:v>76.25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B7-4F7F-A0FC-1E25A2D773E5}"/>
            </c:ext>
          </c:extLst>
        </c:ser>
        <c:ser>
          <c:idx val="1"/>
          <c:order val="1"/>
          <c:tx>
            <c:v>Poids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Feuil1!$AS$1:$AS$2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Feuil1!$AT$1:$AT$2</c:f>
              <c:numCache>
                <c:formatCode>General</c:formatCode>
                <c:ptCount val="2"/>
                <c:pt idx="0">
                  <c:v>682.42105263157873</c:v>
                </c:pt>
                <c:pt idx="1">
                  <c:v>682.42105263157873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B7-4F7F-A0FC-1E25A2D773E5}"/>
            </c:ext>
          </c:extLst>
        </c:ser>
        <c:ser>
          <c:idx val="2"/>
          <c:order val="2"/>
          <c:tx>
            <c:v>DEC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Feuil1!$AA$2:$AA$3</c:f>
              <c:numCache>
                <c:formatCode>General</c:formatCode>
                <c:ptCount val="2"/>
                <c:pt idx="0">
                  <c:v>1.1100000000000001</c:v>
                </c:pt>
                <c:pt idx="1">
                  <c:v>1.1100000000000001</c:v>
                </c:pt>
              </c:numCache>
            </c:numRef>
          </c:xVal>
          <c:yVal>
            <c:numRef>
              <c:f>Feuil1!$AB$2:$AB$3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4E-4493-B5F1-6CCF339D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05024"/>
        <c:axId val="78706944"/>
      </c:scatterChart>
      <c:valAx>
        <c:axId val="78705024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06944"/>
        <c:crosses val="autoZero"/>
        <c:crossBetween val="midCat"/>
      </c:valAx>
      <c:valAx>
        <c:axId val="78706944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0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(N) en fonction de la vitesse</a:t>
            </a:r>
            <a:r>
              <a:rPr lang="en-US" baseline="0"/>
              <a:t> (m/s)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Feuil1!$E$3:$E$1600</c:f>
              <c:numCache>
                <c:formatCode>General</c:formatCode>
                <c:ptCount val="1598"/>
                <c:pt idx="0">
                  <c:v>0</c:v>
                </c:pt>
                <c:pt idx="1">
                  <c:v>-3.385758907911538E-5</c:v>
                </c:pt>
                <c:pt idx="2">
                  <c:v>-1.0868475242940102E-4</c:v>
                </c:pt>
                <c:pt idx="3">
                  <c:v>-1.9896535168898612E-4</c:v>
                </c:pt>
                <c:pt idx="4">
                  <c:v>-2.7846448403510689E-4</c:v>
                </c:pt>
                <c:pt idx="5">
                  <c:v>-3.550885585376393E-4</c:v>
                </c:pt>
                <c:pt idx="6">
                  <c:v>-4.2668128181388808E-4</c:v>
                </c:pt>
                <c:pt idx="7">
                  <c:v>-4.7239848449781753E-4</c:v>
                </c:pt>
                <c:pt idx="8">
                  <c:v>-4.8073993521506207E-4</c:v>
                </c:pt>
                <c:pt idx="9">
                  <c:v>-4.606901897268475E-4</c:v>
                </c:pt>
                <c:pt idx="10">
                  <c:v>-4.2123380379439543E-4</c:v>
                </c:pt>
                <c:pt idx="11">
                  <c:v>-3.641676885699486E-4</c:v>
                </c:pt>
                <c:pt idx="12">
                  <c:v>-2.9416381304934211E-4</c:v>
                </c:pt>
                <c:pt idx="13">
                  <c:v>-2.1553476399796247E-4</c:v>
                </c:pt>
                <c:pt idx="14">
                  <c:v>-1.4373397732511325E-4</c:v>
                </c:pt>
                <c:pt idx="15">
                  <c:v>-9.2417977787847142E-5</c:v>
                </c:pt>
                <c:pt idx="16">
                  <c:v>-5.2961591855391008E-5</c:v>
                </c:pt>
                <c:pt idx="17">
                  <c:v>-2.4286672836403313E-5</c:v>
                </c:pt>
                <c:pt idx="18">
                  <c:v>-4.5963095786372764E-6</c:v>
                </c:pt>
                <c:pt idx="19">
                  <c:v>1.0781466916234645E-6</c:v>
                </c:pt>
                <c:pt idx="20">
                  <c:v>-1.6607242017291291E-5</c:v>
                </c:pt>
                <c:pt idx="21">
                  <c:v>-5.2621124479097904E-5</c:v>
                </c:pt>
                <c:pt idx="22">
                  <c:v>-1.1918249652905896E-4</c:v>
                </c:pt>
                <c:pt idx="23">
                  <c:v>-2.0766618463640137E-4</c:v>
                </c:pt>
                <c:pt idx="24">
                  <c:v>-3.0297813512227418E-4</c:v>
                </c:pt>
                <c:pt idx="25">
                  <c:v>-4.083527880607143E-4</c:v>
                </c:pt>
                <c:pt idx="26">
                  <c:v>-5.1624311661229415E-4</c:v>
                </c:pt>
                <c:pt idx="27">
                  <c:v>-6.1730518278534357E-4</c:v>
                </c:pt>
                <c:pt idx="28">
                  <c:v>-7.1585157334525321E-4</c:v>
                </c:pt>
                <c:pt idx="29">
                  <c:v>-8.0577279037439382E-4</c:v>
                </c:pt>
                <c:pt idx="30">
                  <c:v>-8.7125601573300924E-4</c:v>
                </c:pt>
                <c:pt idx="31">
                  <c:v>-9.2236395187366674E-4</c:v>
                </c:pt>
                <c:pt idx="32">
                  <c:v>-9.648467144835511E-4</c:v>
                </c:pt>
                <c:pt idx="33">
                  <c:v>-9.7426631189214124E-4</c:v>
                </c:pt>
                <c:pt idx="34">
                  <c:v>-9.3516930819013771E-4</c:v>
                </c:pt>
                <c:pt idx="35">
                  <c:v>-8.3353979639003107E-4</c:v>
                </c:pt>
                <c:pt idx="36">
                  <c:v>-6.6829962980047167E-4</c:v>
                </c:pt>
                <c:pt idx="37">
                  <c:v>-4.6927753354872098E-4</c:v>
                </c:pt>
                <c:pt idx="38">
                  <c:v>-2.5983335261395448E-4</c:v>
                </c:pt>
                <c:pt idx="39">
                  <c:v>-6.6201989818935988E-5</c:v>
                </c:pt>
                <c:pt idx="40">
                  <c:v>1.2635122628473688E-4</c:v>
                </c:pt>
                <c:pt idx="41">
                  <c:v>3.2285764692334775E-4</c:v>
                </c:pt>
                <c:pt idx="42">
                  <c:v>4.8701966682155738E-4</c:v>
                </c:pt>
                <c:pt idx="43">
                  <c:v>6.4004083757585007E-4</c:v>
                </c:pt>
                <c:pt idx="44">
                  <c:v>7.8479621702982221E-4</c:v>
                </c:pt>
                <c:pt idx="45">
                  <c:v>8.9684781351294872E-4</c:v>
                </c:pt>
                <c:pt idx="46">
                  <c:v>9.5571083988964234E-4</c:v>
                </c:pt>
                <c:pt idx="47">
                  <c:v>9.2580645534546494E-4</c:v>
                </c:pt>
                <c:pt idx="48">
                  <c:v>8.366040027772254E-4</c:v>
                </c:pt>
                <c:pt idx="49">
                  <c:v>7.4380772790450054E-4</c:v>
                </c:pt>
                <c:pt idx="50">
                  <c:v>6.6754303563242078E-4</c:v>
                </c:pt>
                <c:pt idx="51">
                  <c:v>6.3081038870971295E-4</c:v>
                </c:pt>
                <c:pt idx="52">
                  <c:v>6.4187557843670584E-4</c:v>
                </c:pt>
                <c:pt idx="53">
                  <c:v>6.7917567098646665E-4</c:v>
                </c:pt>
                <c:pt idx="54">
                  <c:v>6.9563159417019172E-4</c:v>
                </c:pt>
                <c:pt idx="55">
                  <c:v>6.3697663119010261E-4</c:v>
                </c:pt>
                <c:pt idx="56">
                  <c:v>4.8021031929747232E-4</c:v>
                </c:pt>
                <c:pt idx="57">
                  <c:v>1.5597188801567144E-4</c:v>
                </c:pt>
                <c:pt idx="58">
                  <c:v>-3.350198981944029E-4</c:v>
                </c:pt>
                <c:pt idx="59">
                  <c:v>-1.0394847292911017E-3</c:v>
                </c:pt>
                <c:pt idx="60">
                  <c:v>-2.0699092434049199E-3</c:v>
                </c:pt>
                <c:pt idx="61">
                  <c:v>-3.3907145997214235E-3</c:v>
                </c:pt>
                <c:pt idx="62">
                  <c:v>-5.0306513766765204E-3</c:v>
                </c:pt>
                <c:pt idx="63">
                  <c:v>-6.9782193428958453E-3</c:v>
                </c:pt>
                <c:pt idx="64">
                  <c:v>-9.1719641369726445E-3</c:v>
                </c:pt>
                <c:pt idx="65">
                  <c:v>-1.1665793093474248E-2</c:v>
                </c:pt>
                <c:pt idx="66">
                  <c:v>-1.4406158260063775E-2</c:v>
                </c:pt>
                <c:pt idx="67">
                  <c:v>-1.7291354465524197E-2</c:v>
                </c:pt>
                <c:pt idx="68">
                  <c:v>-2.0323538003238207E-2</c:v>
                </c:pt>
                <c:pt idx="69">
                  <c:v>-2.3407472582136851E-2</c:v>
                </c:pt>
                <c:pt idx="70">
                  <c:v>-2.6640191404441325E-2</c:v>
                </c:pt>
                <c:pt idx="71">
                  <c:v>-3.0284402880609754E-2</c:v>
                </c:pt>
                <c:pt idx="72">
                  <c:v>-3.4494641369735145E-2</c:v>
                </c:pt>
                <c:pt idx="73">
                  <c:v>-3.9429753817675897E-2</c:v>
                </c:pt>
                <c:pt idx="74">
                  <c:v>-4.5216602151780465E-2</c:v>
                </c:pt>
                <c:pt idx="75">
                  <c:v>-5.1958688454418117E-2</c:v>
                </c:pt>
                <c:pt idx="76">
                  <c:v>-5.9528432033779513E-2</c:v>
                </c:pt>
                <c:pt idx="77">
                  <c:v>-6.7965724317444465E-2</c:v>
                </c:pt>
                <c:pt idx="78">
                  <c:v>-7.7510992017583269E-2</c:v>
                </c:pt>
                <c:pt idx="79">
                  <c:v>-8.800538818833753E-2</c:v>
                </c:pt>
                <c:pt idx="80">
                  <c:v>-9.9447115918555012E-2</c:v>
                </c:pt>
                <c:pt idx="81">
                  <c:v>-0.11204174184405245</c:v>
                </c:pt>
                <c:pt idx="82">
                  <c:v>-0.12579501608051705</c:v>
                </c:pt>
                <c:pt idx="83">
                  <c:v>-0.14044638651087335</c:v>
                </c:pt>
                <c:pt idx="84">
                  <c:v>-0.15591786719111397</c:v>
                </c:pt>
                <c:pt idx="85">
                  <c:v>-0.17229930367885113</c:v>
                </c:pt>
                <c:pt idx="86">
                  <c:v>-0.18934883173299272</c:v>
                </c:pt>
                <c:pt idx="87">
                  <c:v>-0.20703087251272431</c:v>
                </c:pt>
                <c:pt idx="88">
                  <c:v>-0.22540580223276133</c:v>
                </c:pt>
                <c:pt idx="89">
                  <c:v>-0.24434532143683352</c:v>
                </c:pt>
                <c:pt idx="90">
                  <c:v>-0.26369777082369145</c:v>
                </c:pt>
                <c:pt idx="91">
                  <c:v>-0.28331760059000333</c:v>
                </c:pt>
                <c:pt idx="92">
                  <c:v>-0.30317857583294638</c:v>
                </c:pt>
                <c:pt idx="93">
                  <c:v>-0.32324978968070206</c:v>
                </c:pt>
                <c:pt idx="94">
                  <c:v>-0.34353303904442256</c:v>
                </c:pt>
                <c:pt idx="95">
                  <c:v>-0.36401179234150721</c:v>
                </c:pt>
                <c:pt idx="96">
                  <c:v>-0.38425119707311295</c:v>
                </c:pt>
                <c:pt idx="97">
                  <c:v>-0.40412223501850858</c:v>
                </c:pt>
                <c:pt idx="98">
                  <c:v>-0.42388366138361733</c:v>
                </c:pt>
                <c:pt idx="99">
                  <c:v>-0.44400446997917492</c:v>
                </c:pt>
                <c:pt idx="100">
                  <c:v>-0.46449903609439935</c:v>
                </c:pt>
                <c:pt idx="101">
                  <c:v>-0.48505182213095649</c:v>
                </c:pt>
                <c:pt idx="102">
                  <c:v>-0.50588995765848999</c:v>
                </c:pt>
                <c:pt idx="103">
                  <c:v>-0.5271798366496977</c:v>
                </c:pt>
                <c:pt idx="104">
                  <c:v>-0.54900555454650468</c:v>
                </c:pt>
                <c:pt idx="105">
                  <c:v>-0.57135884555761063</c:v>
                </c:pt>
                <c:pt idx="106">
                  <c:v>-0.59413477007172444</c:v>
                </c:pt>
                <c:pt idx="107">
                  <c:v>-0.61716873102730052</c:v>
                </c:pt>
                <c:pt idx="108">
                  <c:v>-0.64031410047431581</c:v>
                </c:pt>
                <c:pt idx="109">
                  <c:v>-0.66372685030078504</c:v>
                </c:pt>
                <c:pt idx="110">
                  <c:v>-0.6873951208931034</c:v>
                </c:pt>
                <c:pt idx="111">
                  <c:v>-0.71123733248495902</c:v>
                </c:pt>
                <c:pt idx="112">
                  <c:v>-0.73532356461128945</c:v>
                </c:pt>
                <c:pt idx="113">
                  <c:v>-0.75977708537713862</c:v>
                </c:pt>
                <c:pt idx="114">
                  <c:v>-0.7845184713095773</c:v>
                </c:pt>
                <c:pt idx="115">
                  <c:v>-0.80935365600416309</c:v>
                </c:pt>
                <c:pt idx="116">
                  <c:v>-0.83430132733687945</c:v>
                </c:pt>
                <c:pt idx="117">
                  <c:v>-0.859286015039332</c:v>
                </c:pt>
                <c:pt idx="118">
                  <c:v>-0.88407232375057676</c:v>
                </c:pt>
                <c:pt idx="119">
                  <c:v>-0.90853986042341339</c:v>
                </c:pt>
                <c:pt idx="120">
                  <c:v>-0.93264873363026202</c:v>
                </c:pt>
                <c:pt idx="121">
                  <c:v>-0.95634359850763362</c:v>
                </c:pt>
                <c:pt idx="122">
                  <c:v>-0.97982858416242302</c:v>
                </c:pt>
                <c:pt idx="123">
                  <c:v>-1.0032808660342416</c:v>
                </c:pt>
                <c:pt idx="124">
                  <c:v>-1.0267176944701508</c:v>
                </c:pt>
                <c:pt idx="125">
                  <c:v>-1.0500043011337326</c:v>
                </c:pt>
                <c:pt idx="126">
                  <c:v>-1.0730264024757039</c:v>
                </c:pt>
                <c:pt idx="127">
                  <c:v>-1.0955126649120759</c:v>
                </c:pt>
                <c:pt idx="128">
                  <c:v>-1.1173067571726034</c:v>
                </c:pt>
                <c:pt idx="129">
                  <c:v>-1.1383511781004145</c:v>
                </c:pt>
                <c:pt idx="130">
                  <c:v>-1.1586405369620527</c:v>
                </c:pt>
                <c:pt idx="131">
                  <c:v>-1.1779631576237835</c:v>
                </c:pt>
                <c:pt idx="132">
                  <c:v>-1.1957181529962961</c:v>
                </c:pt>
                <c:pt idx="133">
                  <c:v>-1.2117783017700119</c:v>
                </c:pt>
                <c:pt idx="134">
                  <c:v>-1.2258535824849586</c:v>
                </c:pt>
                <c:pt idx="135">
                  <c:v>-1.2373032166242459</c:v>
                </c:pt>
                <c:pt idx="136">
                  <c:v>-1.2460007016427559</c:v>
                </c:pt>
                <c:pt idx="137">
                  <c:v>-1.2515686861985171</c:v>
                </c:pt>
                <c:pt idx="138">
                  <c:v>-1.2534282055182764</c:v>
                </c:pt>
                <c:pt idx="139">
                  <c:v>-1.2517639820684847</c:v>
                </c:pt>
                <c:pt idx="140">
                  <c:v>-1.2471226362216545</c:v>
                </c:pt>
                <c:pt idx="141">
                  <c:v>-1.2398337214831074</c:v>
                </c:pt>
                <c:pt idx="142">
                  <c:v>-1.2300783664969899</c:v>
                </c:pt>
                <c:pt idx="143">
                  <c:v>-1.2185652730217469</c:v>
                </c:pt>
                <c:pt idx="144">
                  <c:v>-1.2056110568024039</c:v>
                </c:pt>
                <c:pt idx="145">
                  <c:v>-1.1909727754511776</c:v>
                </c:pt>
                <c:pt idx="146">
                  <c:v>-1.1743683139171657</c:v>
                </c:pt>
                <c:pt idx="147">
                  <c:v>-1.1554523058769066</c:v>
                </c:pt>
                <c:pt idx="148">
                  <c:v>-1.1339336517237368</c:v>
                </c:pt>
                <c:pt idx="149">
                  <c:v>-1.1095956439726957</c:v>
                </c:pt>
                <c:pt idx="150">
                  <c:v>-1.082670443544653</c:v>
                </c:pt>
                <c:pt idx="151">
                  <c:v>-1.0530254383965734</c:v>
                </c:pt>
                <c:pt idx="152">
                  <c:v>-1.0201981035978691</c:v>
                </c:pt>
                <c:pt idx="153">
                  <c:v>-0.98403462355390792</c:v>
                </c:pt>
                <c:pt idx="154">
                  <c:v>-0.94483472304488425</c:v>
                </c:pt>
                <c:pt idx="155">
                  <c:v>-0.90228825520592082</c:v>
                </c:pt>
                <c:pt idx="156">
                  <c:v>-0.8554565136510851</c:v>
                </c:pt>
                <c:pt idx="157">
                  <c:v>-0.80379323739009478</c:v>
                </c:pt>
                <c:pt idx="158">
                  <c:v>-0.74707489067561073</c:v>
                </c:pt>
                <c:pt idx="159">
                  <c:v>-0.68565115241785968</c:v>
                </c:pt>
                <c:pt idx="160">
                  <c:v>-0.62015022275566623</c:v>
                </c:pt>
                <c:pt idx="161">
                  <c:v>-0.55187414350994657</c:v>
                </c:pt>
                <c:pt idx="162">
                  <c:v>-0.4815495855506684</c:v>
                </c:pt>
                <c:pt idx="163">
                  <c:v>-0.40921104957195481</c:v>
                </c:pt>
                <c:pt idx="164">
                  <c:v>-0.33529626313049249</c:v>
                </c:pt>
                <c:pt idx="165">
                  <c:v>-0.26031159578898388</c:v>
                </c:pt>
                <c:pt idx="166">
                  <c:v>-0.1848715911614966</c:v>
                </c:pt>
                <c:pt idx="167">
                  <c:v>-0.10926087997454607</c:v>
                </c:pt>
                <c:pt idx="168">
                  <c:v>-3.3009749652935683E-2</c:v>
                </c:pt>
                <c:pt idx="169">
                  <c:v>4.3763922431747357E-2</c:v>
                </c:pt>
                <c:pt idx="170">
                  <c:v>0.12039312285978997</c:v>
                </c:pt>
                <c:pt idx="171">
                  <c:v>0.19653643851226571</c:v>
                </c:pt>
                <c:pt idx="172">
                  <c:v>0.27209252360018799</c:v>
                </c:pt>
                <c:pt idx="173">
                  <c:v>0.34720081842897099</c:v>
                </c:pt>
                <c:pt idx="174">
                  <c:v>0.42176321164970215</c:v>
                </c:pt>
                <c:pt idx="175">
                  <c:v>0.49573657739472765</c:v>
                </c:pt>
                <c:pt idx="176">
                  <c:v>0.56896674068718489</c:v>
                </c:pt>
                <c:pt idx="177">
                  <c:v>0.64118093041416313</c:v>
                </c:pt>
                <c:pt idx="178">
                  <c:v>0.71211607878297389</c:v>
                </c:pt>
                <c:pt idx="179">
                  <c:v>0.78163022981258989</c:v>
                </c:pt>
                <c:pt idx="180">
                  <c:v>0.84965510087922569</c:v>
                </c:pt>
                <c:pt idx="181">
                  <c:v>0.91638332085840202</c:v>
                </c:pt>
                <c:pt idx="182">
                  <c:v>0.98182782751041497</c:v>
                </c:pt>
                <c:pt idx="183">
                  <c:v>1.0457561005321643</c:v>
                </c:pt>
                <c:pt idx="184">
                  <c:v>1.1081656242480367</c:v>
                </c:pt>
                <c:pt idx="185">
                  <c:v>1.1693338417399386</c:v>
                </c:pt>
                <c:pt idx="186">
                  <c:v>1.2292614717723311</c:v>
                </c:pt>
                <c:pt idx="187">
                  <c:v>1.2876929935793648</c:v>
                </c:pt>
                <c:pt idx="188">
                  <c:v>1.3447344249190225</c:v>
                </c:pt>
                <c:pt idx="189">
                  <c:v>1.4006725528112021</c:v>
                </c:pt>
                <c:pt idx="190">
                  <c:v>1.4556615522327663</c:v>
                </c:pt>
                <c:pt idx="191">
                  <c:v>1.5097697058075001</c:v>
                </c:pt>
                <c:pt idx="192">
                  <c:v>1.5632011426422989</c:v>
                </c:pt>
                <c:pt idx="193">
                  <c:v>1.6160999750115725</c:v>
                </c:pt>
                <c:pt idx="194">
                  <c:v>1.6685650330286943</c:v>
                </c:pt>
                <c:pt idx="195">
                  <c:v>1.7207425852614568</c:v>
                </c:pt>
                <c:pt idx="196">
                  <c:v>1.7728417921679815</c:v>
                </c:pt>
                <c:pt idx="197">
                  <c:v>1.8249395615455846</c:v>
                </c:pt>
                <c:pt idx="198">
                  <c:v>1.8770588938570145</c:v>
                </c:pt>
                <c:pt idx="199">
                  <c:v>1.9293392294076854</c:v>
                </c:pt>
                <c:pt idx="200">
                  <c:v>1.9817866776955151</c:v>
                </c:pt>
                <c:pt idx="201">
                  <c:v>2.0343113931628913</c:v>
                </c:pt>
                <c:pt idx="202">
                  <c:v>2.0867814825312392</c:v>
                </c:pt>
                <c:pt idx="203">
                  <c:v>2.1390693651087496</c:v>
                </c:pt>
                <c:pt idx="204">
                  <c:v>2.1910043343359593</c:v>
                </c:pt>
                <c:pt idx="205">
                  <c:v>2.2422503678273986</c:v>
                </c:pt>
                <c:pt idx="206">
                  <c:v>2.2923650660573847</c:v>
                </c:pt>
                <c:pt idx="207">
                  <c:v>2.3411209400740436</c:v>
                </c:pt>
                <c:pt idx="208">
                  <c:v>2.3880051514345251</c:v>
                </c:pt>
                <c:pt idx="209">
                  <c:v>2.4321152913581714</c:v>
                </c:pt>
                <c:pt idx="210">
                  <c:v>2.4726679065826045</c:v>
                </c:pt>
                <c:pt idx="211">
                  <c:v>2.5086822430009295</c:v>
                </c:pt>
                <c:pt idx="212">
                  <c:v>2.5389964178621049</c:v>
                </c:pt>
                <c:pt idx="213">
                  <c:v>2.5623022798472972</c:v>
                </c:pt>
                <c:pt idx="214">
                  <c:v>2.5789315387552101</c:v>
                </c:pt>
                <c:pt idx="215">
                  <c:v>2.5871990513072691</c:v>
                </c:pt>
                <c:pt idx="216">
                  <c:v>2.5837370466219385</c:v>
                </c:pt>
                <c:pt idx="217">
                  <c:v>2.568457116670527</c:v>
                </c:pt>
                <c:pt idx="218">
                  <c:v>2.5408431885701104</c:v>
                </c:pt>
                <c:pt idx="219">
                  <c:v>2.5018932667746454</c:v>
                </c:pt>
                <c:pt idx="220">
                  <c:v>2.4555835562818182</c:v>
                </c:pt>
                <c:pt idx="221">
                  <c:v>2.4065335562818184</c:v>
                </c:pt>
                <c:pt idx="222">
                  <c:v>2.3574835562818186</c:v>
                </c:pt>
                <c:pt idx="223">
                  <c:v>2.3084335562818188</c:v>
                </c:pt>
                <c:pt idx="224">
                  <c:v>2.259383556281819</c:v>
                </c:pt>
                <c:pt idx="225">
                  <c:v>2.2103335562818192</c:v>
                </c:pt>
                <c:pt idx="226">
                  <c:v>2.1612835562818193</c:v>
                </c:pt>
                <c:pt idx="227">
                  <c:v>2.1122335562818195</c:v>
                </c:pt>
                <c:pt idx="228">
                  <c:v>2.0631835562818197</c:v>
                </c:pt>
                <c:pt idx="229">
                  <c:v>2.0141335562818199</c:v>
                </c:pt>
                <c:pt idx="230">
                  <c:v>1.9650835562818199</c:v>
                </c:pt>
                <c:pt idx="231">
                  <c:v>1.9160335562818198</c:v>
                </c:pt>
                <c:pt idx="232">
                  <c:v>1.8669835562818198</c:v>
                </c:pt>
                <c:pt idx="233">
                  <c:v>1.8179335562818197</c:v>
                </c:pt>
                <c:pt idx="234">
                  <c:v>1.7688835562818197</c:v>
                </c:pt>
                <c:pt idx="235">
                  <c:v>1.7198335562818197</c:v>
                </c:pt>
                <c:pt idx="236">
                  <c:v>1.6707835562818196</c:v>
                </c:pt>
                <c:pt idx="237">
                  <c:v>1.6217335562818196</c:v>
                </c:pt>
                <c:pt idx="238">
                  <c:v>1.5726835562818196</c:v>
                </c:pt>
                <c:pt idx="239">
                  <c:v>1.5236335562818195</c:v>
                </c:pt>
                <c:pt idx="240">
                  <c:v>1.4745835562818195</c:v>
                </c:pt>
                <c:pt idx="241">
                  <c:v>1.4255335562818194</c:v>
                </c:pt>
                <c:pt idx="242">
                  <c:v>1.3764835562818194</c:v>
                </c:pt>
                <c:pt idx="243">
                  <c:v>1.3274335562818194</c:v>
                </c:pt>
                <c:pt idx="244">
                  <c:v>1.2783835562818193</c:v>
                </c:pt>
                <c:pt idx="245">
                  <c:v>1.2293335562818193</c:v>
                </c:pt>
                <c:pt idx="246">
                  <c:v>1.1802835562818192</c:v>
                </c:pt>
                <c:pt idx="247">
                  <c:v>1.1312335562818192</c:v>
                </c:pt>
                <c:pt idx="248">
                  <c:v>1.0821835562818192</c:v>
                </c:pt>
                <c:pt idx="249">
                  <c:v>1.0331335562818191</c:v>
                </c:pt>
                <c:pt idx="250">
                  <c:v>0.98408355628181909</c:v>
                </c:pt>
                <c:pt idx="251">
                  <c:v>0.93503355628181906</c:v>
                </c:pt>
                <c:pt idx="252">
                  <c:v>0.88598355628181902</c:v>
                </c:pt>
                <c:pt idx="253">
                  <c:v>0.83693355628181898</c:v>
                </c:pt>
                <c:pt idx="254">
                  <c:v>0.78788355628181894</c:v>
                </c:pt>
                <c:pt idx="255">
                  <c:v>0.7388335562818189</c:v>
                </c:pt>
                <c:pt idx="256">
                  <c:v>0.68978355628181887</c:v>
                </c:pt>
                <c:pt idx="257">
                  <c:v>0.64073355628181883</c:v>
                </c:pt>
                <c:pt idx="258">
                  <c:v>0.59168355628181879</c:v>
                </c:pt>
                <c:pt idx="259">
                  <c:v>0.54263355628181875</c:v>
                </c:pt>
                <c:pt idx="260">
                  <c:v>0.49358355628181877</c:v>
                </c:pt>
                <c:pt idx="261">
                  <c:v>0.44453355628181879</c:v>
                </c:pt>
                <c:pt idx="262">
                  <c:v>0.3954835562818188</c:v>
                </c:pt>
                <c:pt idx="263">
                  <c:v>0.34643355628181882</c:v>
                </c:pt>
                <c:pt idx="264">
                  <c:v>0.29738355628181884</c:v>
                </c:pt>
                <c:pt idx="265">
                  <c:v>0.24833355628181886</c:v>
                </c:pt>
                <c:pt idx="266">
                  <c:v>0.19928355628181887</c:v>
                </c:pt>
                <c:pt idx="267">
                  <c:v>0.15023355628181889</c:v>
                </c:pt>
                <c:pt idx="268">
                  <c:v>0.1011835562818189</c:v>
                </c:pt>
                <c:pt idx="269">
                  <c:v>5.2133556281818899E-2</c:v>
                </c:pt>
                <c:pt idx="270">
                  <c:v>3.0835562818189027E-3</c:v>
                </c:pt>
                <c:pt idx="271">
                  <c:v>-4.5966443718181094E-2</c:v>
                </c:pt>
                <c:pt idx="272">
                  <c:v>-9.501644371818109E-2</c:v>
                </c:pt>
                <c:pt idx="273">
                  <c:v>-0.14406644371818109</c:v>
                </c:pt>
                <c:pt idx="274">
                  <c:v>-0.1931164437181811</c:v>
                </c:pt>
                <c:pt idx="275">
                  <c:v>-0.24216644371818108</c:v>
                </c:pt>
                <c:pt idx="276">
                  <c:v>-0.29121644371818106</c:v>
                </c:pt>
                <c:pt idx="277">
                  <c:v>-0.34026644371818104</c:v>
                </c:pt>
                <c:pt idx="278">
                  <c:v>-0.38931644371818103</c:v>
                </c:pt>
                <c:pt idx="279">
                  <c:v>-0.43836644371818101</c:v>
                </c:pt>
                <c:pt idx="280">
                  <c:v>-0.48741644371818099</c:v>
                </c:pt>
                <c:pt idx="281">
                  <c:v>-0.53646644371818097</c:v>
                </c:pt>
                <c:pt idx="282">
                  <c:v>-0.58551644371818101</c:v>
                </c:pt>
                <c:pt idx="283">
                  <c:v>-0.63456644371818105</c:v>
                </c:pt>
                <c:pt idx="284">
                  <c:v>-0.68361644371818109</c:v>
                </c:pt>
                <c:pt idx="285">
                  <c:v>-0.73266644371818113</c:v>
                </c:pt>
                <c:pt idx="286">
                  <c:v>-0.78171644371818116</c:v>
                </c:pt>
                <c:pt idx="287">
                  <c:v>-0.8307664437181812</c:v>
                </c:pt>
                <c:pt idx="288">
                  <c:v>-0.87981644371818124</c:v>
                </c:pt>
                <c:pt idx="289">
                  <c:v>-0.92886644371818128</c:v>
                </c:pt>
                <c:pt idx="290">
                  <c:v>-0.97791644371818132</c:v>
                </c:pt>
                <c:pt idx="291">
                  <c:v>-1.0269664437181814</c:v>
                </c:pt>
                <c:pt idx="292">
                  <c:v>-1.0760164437181814</c:v>
                </c:pt>
                <c:pt idx="293">
                  <c:v>-1.1250664437181814</c:v>
                </c:pt>
                <c:pt idx="294">
                  <c:v>-1.1741164437181815</c:v>
                </c:pt>
                <c:pt idx="295">
                  <c:v>-1.2231664437181815</c:v>
                </c:pt>
                <c:pt idx="296">
                  <c:v>-1.2722164437181815</c:v>
                </c:pt>
                <c:pt idx="297">
                  <c:v>-1.3212664437181816</c:v>
                </c:pt>
                <c:pt idx="298">
                  <c:v>-1.3703164437181816</c:v>
                </c:pt>
                <c:pt idx="299">
                  <c:v>-1.4193664437181817</c:v>
                </c:pt>
                <c:pt idx="300">
                  <c:v>-1.4684164437181817</c:v>
                </c:pt>
                <c:pt idx="301">
                  <c:v>-1.5174664437181817</c:v>
                </c:pt>
                <c:pt idx="302">
                  <c:v>-1.5665164437181818</c:v>
                </c:pt>
                <c:pt idx="303">
                  <c:v>-1.6155664437181818</c:v>
                </c:pt>
                <c:pt idx="304">
                  <c:v>-1.6646164437181818</c:v>
                </c:pt>
                <c:pt idx="305">
                  <c:v>-1.7136664437181819</c:v>
                </c:pt>
                <c:pt idx="306">
                  <c:v>-1.7627164437181819</c:v>
                </c:pt>
                <c:pt idx="307">
                  <c:v>-1.811766443718182</c:v>
                </c:pt>
                <c:pt idx="308">
                  <c:v>-1.860816443718182</c:v>
                </c:pt>
                <c:pt idx="309">
                  <c:v>-1.909866443718182</c:v>
                </c:pt>
                <c:pt idx="310">
                  <c:v>-1.9589164437181821</c:v>
                </c:pt>
                <c:pt idx="311">
                  <c:v>-2.0079664437181819</c:v>
                </c:pt>
                <c:pt idx="312">
                  <c:v>-2.0570164437181817</c:v>
                </c:pt>
                <c:pt idx="313">
                  <c:v>-2.1060664437181815</c:v>
                </c:pt>
                <c:pt idx="314">
                  <c:v>-2.1551164437181813</c:v>
                </c:pt>
                <c:pt idx="315">
                  <c:v>-2.2041664437181812</c:v>
                </c:pt>
                <c:pt idx="316">
                  <c:v>-2.253216443718181</c:v>
                </c:pt>
                <c:pt idx="317">
                  <c:v>-2.3022664437181808</c:v>
                </c:pt>
                <c:pt idx="318">
                  <c:v>-2.3513164437181806</c:v>
                </c:pt>
                <c:pt idx="319">
                  <c:v>-2.4003664437181804</c:v>
                </c:pt>
                <c:pt idx="320">
                  <c:v>-2.4494164437181802</c:v>
                </c:pt>
                <c:pt idx="321">
                  <c:v>-2.4984664437181801</c:v>
                </c:pt>
                <c:pt idx="322">
                  <c:v>-2.5475164437181799</c:v>
                </c:pt>
                <c:pt idx="323">
                  <c:v>-2.5965664437181797</c:v>
                </c:pt>
                <c:pt idx="324">
                  <c:v>-2.6456164437181795</c:v>
                </c:pt>
                <c:pt idx="325">
                  <c:v>-2.6946664437181793</c:v>
                </c:pt>
                <c:pt idx="326">
                  <c:v>-2.7437164437181791</c:v>
                </c:pt>
                <c:pt idx="327">
                  <c:v>-2.7927664437181789</c:v>
                </c:pt>
                <c:pt idx="328">
                  <c:v>-2.8418164437181788</c:v>
                </c:pt>
                <c:pt idx="329">
                  <c:v>-2.8908664437181786</c:v>
                </c:pt>
                <c:pt idx="330">
                  <c:v>-2.9399164437181784</c:v>
                </c:pt>
                <c:pt idx="331">
                  <c:v>-2.9889664437181782</c:v>
                </c:pt>
                <c:pt idx="332">
                  <c:v>-3.038016443718178</c:v>
                </c:pt>
                <c:pt idx="333">
                  <c:v>-3.0870664437181778</c:v>
                </c:pt>
                <c:pt idx="334">
                  <c:v>-3.1361164437181777</c:v>
                </c:pt>
                <c:pt idx="335">
                  <c:v>-3.1851664437181775</c:v>
                </c:pt>
                <c:pt idx="336">
                  <c:v>-3.2342164437181773</c:v>
                </c:pt>
                <c:pt idx="337">
                  <c:v>-3.2832664437181771</c:v>
                </c:pt>
                <c:pt idx="338">
                  <c:v>-3.3323164437181769</c:v>
                </c:pt>
                <c:pt idx="339">
                  <c:v>-3.3813664437181767</c:v>
                </c:pt>
                <c:pt idx="340">
                  <c:v>-3.4304164437181766</c:v>
                </c:pt>
                <c:pt idx="341">
                  <c:v>-3.4794664437181764</c:v>
                </c:pt>
                <c:pt idx="342">
                  <c:v>-3.5285164437181762</c:v>
                </c:pt>
                <c:pt idx="343">
                  <c:v>-3.577566443718176</c:v>
                </c:pt>
                <c:pt idx="344">
                  <c:v>-3.6266164437181758</c:v>
                </c:pt>
                <c:pt idx="345">
                  <c:v>-3.6756664437181756</c:v>
                </c:pt>
                <c:pt idx="346">
                  <c:v>-3.7247164437181755</c:v>
                </c:pt>
                <c:pt idx="347">
                  <c:v>-3.7737664437181753</c:v>
                </c:pt>
                <c:pt idx="348">
                  <c:v>-3.8228164437181751</c:v>
                </c:pt>
                <c:pt idx="349">
                  <c:v>-3.8718664437181749</c:v>
                </c:pt>
                <c:pt idx="350">
                  <c:v>-3.9209164437181747</c:v>
                </c:pt>
                <c:pt idx="351">
                  <c:v>-3.9699664437181745</c:v>
                </c:pt>
                <c:pt idx="352">
                  <c:v>-4.0190164437181748</c:v>
                </c:pt>
                <c:pt idx="353">
                  <c:v>-4.0680664437181751</c:v>
                </c:pt>
                <c:pt idx="354">
                  <c:v>-4.1171164437181753</c:v>
                </c:pt>
                <c:pt idx="355">
                  <c:v>-4.1661664437181756</c:v>
                </c:pt>
                <c:pt idx="356">
                  <c:v>-4.2152164437181758</c:v>
                </c:pt>
                <c:pt idx="357">
                  <c:v>-4.2642664437181761</c:v>
                </c:pt>
                <c:pt idx="358">
                  <c:v>-4.3133164437181764</c:v>
                </c:pt>
                <c:pt idx="359">
                  <c:v>-4.3623664437181766</c:v>
                </c:pt>
                <c:pt idx="360">
                  <c:v>-4.4114164437181769</c:v>
                </c:pt>
                <c:pt idx="361">
                  <c:v>-4.4604664437181771</c:v>
                </c:pt>
                <c:pt idx="362">
                  <c:v>-4.5095164437181774</c:v>
                </c:pt>
                <c:pt idx="363">
                  <c:v>-4.5585664437181777</c:v>
                </c:pt>
                <c:pt idx="364">
                  <c:v>-4.6076164437181779</c:v>
                </c:pt>
                <c:pt idx="365">
                  <c:v>-4.6566664437181782</c:v>
                </c:pt>
                <c:pt idx="366">
                  <c:v>-4.7057164437181784</c:v>
                </c:pt>
                <c:pt idx="367">
                  <c:v>-4.7547664437181787</c:v>
                </c:pt>
                <c:pt idx="368">
                  <c:v>-4.803816443718179</c:v>
                </c:pt>
                <c:pt idx="369">
                  <c:v>-4.8528664437181792</c:v>
                </c:pt>
                <c:pt idx="370">
                  <c:v>-4.9019164437181795</c:v>
                </c:pt>
                <c:pt idx="371">
                  <c:v>-4.9509664437181797</c:v>
                </c:pt>
                <c:pt idx="372">
                  <c:v>-5.00001644371818</c:v>
                </c:pt>
                <c:pt idx="373">
                  <c:v>-5.0490664437181803</c:v>
                </c:pt>
                <c:pt idx="374">
                  <c:v>-5.0981164437181805</c:v>
                </c:pt>
                <c:pt idx="375">
                  <c:v>-5.1471664437181808</c:v>
                </c:pt>
                <c:pt idx="376">
                  <c:v>-5.196216443718181</c:v>
                </c:pt>
                <c:pt idx="377">
                  <c:v>-5.2452664437181813</c:v>
                </c:pt>
                <c:pt idx="378">
                  <c:v>-5.2943164437181816</c:v>
                </c:pt>
                <c:pt idx="379">
                  <c:v>-5.3433664437181818</c:v>
                </c:pt>
                <c:pt idx="380">
                  <c:v>-5.3924164437181821</c:v>
                </c:pt>
                <c:pt idx="381">
                  <c:v>-5.4414664437181823</c:v>
                </c:pt>
                <c:pt idx="382">
                  <c:v>-5.4905164437181826</c:v>
                </c:pt>
                <c:pt idx="383">
                  <c:v>-5.5395664437181829</c:v>
                </c:pt>
                <c:pt idx="384">
                  <c:v>-5.5886164437181831</c:v>
                </c:pt>
                <c:pt idx="385">
                  <c:v>-5.6376664437181834</c:v>
                </c:pt>
                <c:pt idx="386">
                  <c:v>-5.6867164437181836</c:v>
                </c:pt>
                <c:pt idx="387">
                  <c:v>-5.7357664437181839</c:v>
                </c:pt>
                <c:pt idx="388">
                  <c:v>-5.7848164437181842</c:v>
                </c:pt>
                <c:pt idx="389">
                  <c:v>-5.8338664437181844</c:v>
                </c:pt>
                <c:pt idx="390">
                  <c:v>-5.8829164437181847</c:v>
                </c:pt>
                <c:pt idx="391">
                  <c:v>-5.9319664437181849</c:v>
                </c:pt>
                <c:pt idx="392">
                  <c:v>-5.9810164437181852</c:v>
                </c:pt>
                <c:pt idx="393">
                  <c:v>-6.0300664437181855</c:v>
                </c:pt>
                <c:pt idx="394">
                  <c:v>-6.0791164437181857</c:v>
                </c:pt>
                <c:pt idx="395">
                  <c:v>-6.128166443718186</c:v>
                </c:pt>
                <c:pt idx="396">
                  <c:v>-6.1772164437181862</c:v>
                </c:pt>
                <c:pt idx="397">
                  <c:v>-6.2262664437181865</c:v>
                </c:pt>
                <c:pt idx="398">
                  <c:v>-6.2753164437181868</c:v>
                </c:pt>
                <c:pt idx="399">
                  <c:v>-6.324366443718187</c:v>
                </c:pt>
                <c:pt idx="400">
                  <c:v>-6.3734164437181873</c:v>
                </c:pt>
                <c:pt idx="401">
                  <c:v>-6.4224664437181875</c:v>
                </c:pt>
                <c:pt idx="402">
                  <c:v>-6.4715164437181878</c:v>
                </c:pt>
                <c:pt idx="403">
                  <c:v>-6.5205664437181881</c:v>
                </c:pt>
                <c:pt idx="404">
                  <c:v>-6.5696164437181883</c:v>
                </c:pt>
                <c:pt idx="405">
                  <c:v>-6.6186664437181886</c:v>
                </c:pt>
                <c:pt idx="406">
                  <c:v>-6.6677164437181888</c:v>
                </c:pt>
                <c:pt idx="407">
                  <c:v>-6.7167664437181891</c:v>
                </c:pt>
                <c:pt idx="408">
                  <c:v>-6.7658164437181894</c:v>
                </c:pt>
                <c:pt idx="409">
                  <c:v>-6.8148664437181896</c:v>
                </c:pt>
                <c:pt idx="410">
                  <c:v>-6.8639164437181899</c:v>
                </c:pt>
                <c:pt idx="411">
                  <c:v>-6.9129664437181901</c:v>
                </c:pt>
                <c:pt idx="412">
                  <c:v>-6.9620164437181904</c:v>
                </c:pt>
                <c:pt idx="413">
                  <c:v>-7.0110664437181907</c:v>
                </c:pt>
                <c:pt idx="414">
                  <c:v>-7.0601164437181909</c:v>
                </c:pt>
                <c:pt idx="415">
                  <c:v>-7.1091664437181912</c:v>
                </c:pt>
                <c:pt idx="416">
                  <c:v>-7.1582164437181914</c:v>
                </c:pt>
                <c:pt idx="417">
                  <c:v>-7.2072664437181917</c:v>
                </c:pt>
                <c:pt idx="418">
                  <c:v>-7.256316443718192</c:v>
                </c:pt>
                <c:pt idx="419">
                  <c:v>-7.3053664437181922</c:v>
                </c:pt>
                <c:pt idx="420">
                  <c:v>-7.3544164437181925</c:v>
                </c:pt>
                <c:pt idx="421">
                  <c:v>-7.4034664437181927</c:v>
                </c:pt>
                <c:pt idx="422">
                  <c:v>-7.452516443718193</c:v>
                </c:pt>
                <c:pt idx="423">
                  <c:v>-7.5015664437181933</c:v>
                </c:pt>
                <c:pt idx="424">
                  <c:v>-7.5506164437181935</c:v>
                </c:pt>
                <c:pt idx="425">
                  <c:v>-7.5996664437181938</c:v>
                </c:pt>
                <c:pt idx="426">
                  <c:v>-7.648716443718194</c:v>
                </c:pt>
                <c:pt idx="427">
                  <c:v>-7.6977664437181943</c:v>
                </c:pt>
                <c:pt idx="428">
                  <c:v>-7.7468164437181946</c:v>
                </c:pt>
                <c:pt idx="429">
                  <c:v>-7.7958664437181948</c:v>
                </c:pt>
                <c:pt idx="430">
                  <c:v>-7.8449164437181951</c:v>
                </c:pt>
                <c:pt idx="431">
                  <c:v>-7.8939664437181953</c:v>
                </c:pt>
                <c:pt idx="432">
                  <c:v>-7.9430164437181956</c:v>
                </c:pt>
                <c:pt idx="433">
                  <c:v>-7.9920664437181959</c:v>
                </c:pt>
                <c:pt idx="434">
                  <c:v>-8.0411164437181952</c:v>
                </c:pt>
                <c:pt idx="435">
                  <c:v>-8.0901664437181946</c:v>
                </c:pt>
                <c:pt idx="436">
                  <c:v>-8.139216443718194</c:v>
                </c:pt>
                <c:pt idx="437">
                  <c:v>-8.1882664437181933</c:v>
                </c:pt>
                <c:pt idx="438">
                  <c:v>-8.2373164437181927</c:v>
                </c:pt>
                <c:pt idx="439">
                  <c:v>-8.2863664437181921</c:v>
                </c:pt>
                <c:pt idx="440">
                  <c:v>-8.3354164437181915</c:v>
                </c:pt>
                <c:pt idx="441">
                  <c:v>-8.3844664437181908</c:v>
                </c:pt>
                <c:pt idx="442">
                  <c:v>-8.4335164437181902</c:v>
                </c:pt>
                <c:pt idx="443">
                  <c:v>-8.4825664437181896</c:v>
                </c:pt>
                <c:pt idx="444">
                  <c:v>-8.5316164437181889</c:v>
                </c:pt>
                <c:pt idx="445">
                  <c:v>-8.5806664437181883</c:v>
                </c:pt>
                <c:pt idx="446">
                  <c:v>-8.6297164437181877</c:v>
                </c:pt>
                <c:pt idx="447">
                  <c:v>-8.6787664437181871</c:v>
                </c:pt>
                <c:pt idx="448">
                  <c:v>-8.7278164437181864</c:v>
                </c:pt>
                <c:pt idx="449">
                  <c:v>-8.7768664437181858</c:v>
                </c:pt>
                <c:pt idx="450">
                  <c:v>-8.8259164437181852</c:v>
                </c:pt>
                <c:pt idx="451">
                  <c:v>-8.8749664437181845</c:v>
                </c:pt>
                <c:pt idx="452">
                  <c:v>-8.9240164437181839</c:v>
                </c:pt>
                <c:pt idx="453">
                  <c:v>-8.9730664437181833</c:v>
                </c:pt>
                <c:pt idx="454">
                  <c:v>-9.0221164437181827</c:v>
                </c:pt>
                <c:pt idx="455">
                  <c:v>-9.071166443718182</c:v>
                </c:pt>
                <c:pt idx="456">
                  <c:v>-9.1202164437181814</c:v>
                </c:pt>
                <c:pt idx="457">
                  <c:v>-9.1692664437181808</c:v>
                </c:pt>
                <c:pt idx="458">
                  <c:v>-9.2183164437181802</c:v>
                </c:pt>
                <c:pt idx="459">
                  <c:v>-9.2673664437181795</c:v>
                </c:pt>
                <c:pt idx="460">
                  <c:v>-9.3164164437181789</c:v>
                </c:pt>
                <c:pt idx="461">
                  <c:v>-9.3654664437181783</c:v>
                </c:pt>
                <c:pt idx="462">
                  <c:v>-9.4145164437181776</c:v>
                </c:pt>
                <c:pt idx="463">
                  <c:v>-9.463566443718177</c:v>
                </c:pt>
                <c:pt idx="464">
                  <c:v>-9.5126164437181764</c:v>
                </c:pt>
                <c:pt idx="465">
                  <c:v>-9.5616664437181758</c:v>
                </c:pt>
                <c:pt idx="466">
                  <c:v>-9.6107164437181751</c:v>
                </c:pt>
                <c:pt idx="467">
                  <c:v>-9.6597664437181745</c:v>
                </c:pt>
                <c:pt idx="468">
                  <c:v>-9.7088164437181739</c:v>
                </c:pt>
                <c:pt idx="469">
                  <c:v>-9.7578664437181732</c:v>
                </c:pt>
                <c:pt idx="470">
                  <c:v>-9.8069164437181726</c:v>
                </c:pt>
                <c:pt idx="471">
                  <c:v>-9.855966443718172</c:v>
                </c:pt>
                <c:pt idx="472">
                  <c:v>-9.9050164437181714</c:v>
                </c:pt>
                <c:pt idx="473">
                  <c:v>-9.9540664437181707</c:v>
                </c:pt>
                <c:pt idx="474">
                  <c:v>-10.00311644371817</c:v>
                </c:pt>
                <c:pt idx="475">
                  <c:v>-10.052166443718169</c:v>
                </c:pt>
                <c:pt idx="476">
                  <c:v>-10.101216443718169</c:v>
                </c:pt>
                <c:pt idx="477">
                  <c:v>-10.150266443718168</c:v>
                </c:pt>
                <c:pt idx="478">
                  <c:v>-10.199316443718168</c:v>
                </c:pt>
                <c:pt idx="479">
                  <c:v>-10.248366443718167</c:v>
                </c:pt>
                <c:pt idx="480">
                  <c:v>-10.297416443718166</c:v>
                </c:pt>
                <c:pt idx="481">
                  <c:v>-10.346466443718166</c:v>
                </c:pt>
                <c:pt idx="482">
                  <c:v>-10.395516443718165</c:v>
                </c:pt>
                <c:pt idx="483">
                  <c:v>-10.444566443718164</c:v>
                </c:pt>
                <c:pt idx="484">
                  <c:v>-10.493616443718164</c:v>
                </c:pt>
                <c:pt idx="485">
                  <c:v>-10.542666443718163</c:v>
                </c:pt>
                <c:pt idx="486">
                  <c:v>-10.591716443718163</c:v>
                </c:pt>
                <c:pt idx="487">
                  <c:v>-10.640766443718162</c:v>
                </c:pt>
                <c:pt idx="488">
                  <c:v>-10.689816443718161</c:v>
                </c:pt>
                <c:pt idx="489">
                  <c:v>-10.738866443718161</c:v>
                </c:pt>
                <c:pt idx="490">
                  <c:v>-10.78791644371816</c:v>
                </c:pt>
                <c:pt idx="491">
                  <c:v>-10.836966443718159</c:v>
                </c:pt>
                <c:pt idx="492">
                  <c:v>-10.886016443718159</c:v>
                </c:pt>
                <c:pt idx="493">
                  <c:v>-10.935066443718158</c:v>
                </c:pt>
                <c:pt idx="494">
                  <c:v>-10.984116443718158</c:v>
                </c:pt>
                <c:pt idx="495">
                  <c:v>-11.033166443718157</c:v>
                </c:pt>
                <c:pt idx="496">
                  <c:v>-11.082216443718156</c:v>
                </c:pt>
                <c:pt idx="497">
                  <c:v>-11.131266443718156</c:v>
                </c:pt>
                <c:pt idx="498">
                  <c:v>-11.180316443718155</c:v>
                </c:pt>
                <c:pt idx="499">
                  <c:v>-11.229366443718154</c:v>
                </c:pt>
                <c:pt idx="500">
                  <c:v>-11.278416443718154</c:v>
                </c:pt>
                <c:pt idx="501">
                  <c:v>-11.327466443718153</c:v>
                </c:pt>
                <c:pt idx="502">
                  <c:v>-11.376516443718153</c:v>
                </c:pt>
                <c:pt idx="503">
                  <c:v>-11.425566443718152</c:v>
                </c:pt>
                <c:pt idx="504">
                  <c:v>-11.474616443718151</c:v>
                </c:pt>
                <c:pt idx="505">
                  <c:v>-11.523666443718151</c:v>
                </c:pt>
                <c:pt idx="506">
                  <c:v>-11.57271644371815</c:v>
                </c:pt>
                <c:pt idx="507">
                  <c:v>-11.621766443718149</c:v>
                </c:pt>
                <c:pt idx="508">
                  <c:v>-11.670816443718149</c:v>
                </c:pt>
                <c:pt idx="509">
                  <c:v>-11.719866443718148</c:v>
                </c:pt>
                <c:pt idx="510">
                  <c:v>-11.768916443718147</c:v>
                </c:pt>
                <c:pt idx="511">
                  <c:v>-11.817966443718147</c:v>
                </c:pt>
                <c:pt idx="512">
                  <c:v>-11.867016443718146</c:v>
                </c:pt>
                <c:pt idx="513">
                  <c:v>-11.916066443718146</c:v>
                </c:pt>
                <c:pt idx="514">
                  <c:v>-11.965116443718145</c:v>
                </c:pt>
                <c:pt idx="515">
                  <c:v>-12.014166443718144</c:v>
                </c:pt>
                <c:pt idx="516">
                  <c:v>-12.063216443718144</c:v>
                </c:pt>
              </c:numCache>
            </c:numRef>
          </c:xVal>
          <c:yVal>
            <c:numRef>
              <c:f>Feuil1!$B$3:$B$1600</c:f>
              <c:numCache>
                <c:formatCode>General</c:formatCode>
                <c:ptCount val="1598"/>
                <c:pt idx="0">
                  <c:v>682.25</c:v>
                </c:pt>
                <c:pt idx="1">
                  <c:v>681.65</c:v>
                </c:pt>
                <c:pt idx="2">
                  <c:v>681.11</c:v>
                </c:pt>
                <c:pt idx="3">
                  <c:v>681.22</c:v>
                </c:pt>
                <c:pt idx="4">
                  <c:v>681.41</c:v>
                </c:pt>
                <c:pt idx="5">
                  <c:v>681.3</c:v>
                </c:pt>
                <c:pt idx="6">
                  <c:v>681.55</c:v>
                </c:pt>
                <c:pt idx="7">
                  <c:v>682.02</c:v>
                </c:pt>
                <c:pt idx="8">
                  <c:v>682.59</c:v>
                </c:pt>
                <c:pt idx="9">
                  <c:v>682.81</c:v>
                </c:pt>
                <c:pt idx="10">
                  <c:v>683.13</c:v>
                </c:pt>
                <c:pt idx="11">
                  <c:v>683.3</c:v>
                </c:pt>
                <c:pt idx="12">
                  <c:v>683.49</c:v>
                </c:pt>
                <c:pt idx="13">
                  <c:v>683.54</c:v>
                </c:pt>
                <c:pt idx="14">
                  <c:v>683.3</c:v>
                </c:pt>
                <c:pt idx="15">
                  <c:v>682.97</c:v>
                </c:pt>
                <c:pt idx="16">
                  <c:v>682.97</c:v>
                </c:pt>
                <c:pt idx="17">
                  <c:v>682.67</c:v>
                </c:pt>
                <c:pt idx="18">
                  <c:v>682.72</c:v>
                </c:pt>
                <c:pt idx="19">
                  <c:v>682.28</c:v>
                </c:pt>
                <c:pt idx="20">
                  <c:v>682.07</c:v>
                </c:pt>
                <c:pt idx="21">
                  <c:v>681.77</c:v>
                </c:pt>
                <c:pt idx="22">
                  <c:v>681.22</c:v>
                </c:pt>
                <c:pt idx="23">
                  <c:v>681.16</c:v>
                </c:pt>
                <c:pt idx="24">
                  <c:v>681.03</c:v>
                </c:pt>
                <c:pt idx="25">
                  <c:v>680.88</c:v>
                </c:pt>
                <c:pt idx="26">
                  <c:v>680.96</c:v>
                </c:pt>
                <c:pt idx="27">
                  <c:v>681.07</c:v>
                </c:pt>
                <c:pt idx="28">
                  <c:v>681.03</c:v>
                </c:pt>
                <c:pt idx="29">
                  <c:v>681.31</c:v>
                </c:pt>
                <c:pt idx="30">
                  <c:v>681.71</c:v>
                </c:pt>
                <c:pt idx="31">
                  <c:v>681.71</c:v>
                </c:pt>
                <c:pt idx="32">
                  <c:v>681.95</c:v>
                </c:pt>
                <c:pt idx="33">
                  <c:v>682.63</c:v>
                </c:pt>
                <c:pt idx="34">
                  <c:v>683.3</c:v>
                </c:pt>
                <c:pt idx="35">
                  <c:v>684.37</c:v>
                </c:pt>
                <c:pt idx="36">
                  <c:v>685.07</c:v>
                </c:pt>
                <c:pt idx="37">
                  <c:v>685.31</c:v>
                </c:pt>
                <c:pt idx="38">
                  <c:v>685.36</c:v>
                </c:pt>
                <c:pt idx="39">
                  <c:v>684.87</c:v>
                </c:pt>
                <c:pt idx="40">
                  <c:v>685.33</c:v>
                </c:pt>
                <c:pt idx="41">
                  <c:v>684.98</c:v>
                </c:pt>
                <c:pt idx="42">
                  <c:v>684.43</c:v>
                </c:pt>
                <c:pt idx="43">
                  <c:v>684.67</c:v>
                </c:pt>
                <c:pt idx="44">
                  <c:v>684.2</c:v>
                </c:pt>
                <c:pt idx="45">
                  <c:v>683.76</c:v>
                </c:pt>
                <c:pt idx="46">
                  <c:v>682.72</c:v>
                </c:pt>
                <c:pt idx="47">
                  <c:v>681.29</c:v>
                </c:pt>
                <c:pt idx="48">
                  <c:v>681.07</c:v>
                </c:pt>
                <c:pt idx="49">
                  <c:v>681.19</c:v>
                </c:pt>
                <c:pt idx="50">
                  <c:v>681.53</c:v>
                </c:pt>
                <c:pt idx="51">
                  <c:v>682.29</c:v>
                </c:pt>
                <c:pt idx="52">
                  <c:v>682.86</c:v>
                </c:pt>
                <c:pt idx="53">
                  <c:v>683.02</c:v>
                </c:pt>
                <c:pt idx="54">
                  <c:v>682.28</c:v>
                </c:pt>
                <c:pt idx="55">
                  <c:v>680.93</c:v>
                </c:pt>
                <c:pt idx="56">
                  <c:v>679.55</c:v>
                </c:pt>
                <c:pt idx="57">
                  <c:v>676.27</c:v>
                </c:pt>
                <c:pt idx="58">
                  <c:v>674.91</c:v>
                </c:pt>
                <c:pt idx="59">
                  <c:v>670.33</c:v>
                </c:pt>
                <c:pt idx="60">
                  <c:v>665.84</c:v>
                </c:pt>
                <c:pt idx="61">
                  <c:v>662.25</c:v>
                </c:pt>
                <c:pt idx="62">
                  <c:v>656.96</c:v>
                </c:pt>
                <c:pt idx="63">
                  <c:v>653.69000000000005</c:v>
                </c:pt>
                <c:pt idx="64">
                  <c:v>650.11</c:v>
                </c:pt>
                <c:pt idx="65">
                  <c:v>645.34</c:v>
                </c:pt>
                <c:pt idx="66">
                  <c:v>643.25</c:v>
                </c:pt>
                <c:pt idx="67">
                  <c:v>641.30999999999995</c:v>
                </c:pt>
                <c:pt idx="68">
                  <c:v>639.16</c:v>
                </c:pt>
                <c:pt idx="69">
                  <c:v>639.87</c:v>
                </c:pt>
                <c:pt idx="70">
                  <c:v>635.02</c:v>
                </c:pt>
                <c:pt idx="71">
                  <c:v>628.41999999999996</c:v>
                </c:pt>
                <c:pt idx="72">
                  <c:v>619.27</c:v>
                </c:pt>
                <c:pt idx="73">
                  <c:v>608.25</c:v>
                </c:pt>
                <c:pt idx="74">
                  <c:v>595.57000000000005</c:v>
                </c:pt>
                <c:pt idx="75">
                  <c:v>581.66999999999996</c:v>
                </c:pt>
                <c:pt idx="76">
                  <c:v>572.54</c:v>
                </c:pt>
                <c:pt idx="77">
                  <c:v>557.53</c:v>
                </c:pt>
                <c:pt idx="78">
                  <c:v>541.71</c:v>
                </c:pt>
                <c:pt idx="79">
                  <c:v>531.12</c:v>
                </c:pt>
                <c:pt idx="80">
                  <c:v>515.35</c:v>
                </c:pt>
                <c:pt idx="81">
                  <c:v>499.04</c:v>
                </c:pt>
                <c:pt idx="82">
                  <c:v>483.11</c:v>
                </c:pt>
                <c:pt idx="83">
                  <c:v>474.05</c:v>
                </c:pt>
                <c:pt idx="84">
                  <c:v>460.29</c:v>
                </c:pt>
                <c:pt idx="85">
                  <c:v>448.73</c:v>
                </c:pt>
                <c:pt idx="86">
                  <c:v>441.7</c:v>
                </c:pt>
                <c:pt idx="87">
                  <c:v>431.13</c:v>
                </c:pt>
                <c:pt idx="88">
                  <c:v>422.42</c:v>
                </c:pt>
                <c:pt idx="89">
                  <c:v>415.42</c:v>
                </c:pt>
                <c:pt idx="90">
                  <c:v>410.93</c:v>
                </c:pt>
                <c:pt idx="91">
                  <c:v>407.98</c:v>
                </c:pt>
                <c:pt idx="92">
                  <c:v>404.22</c:v>
                </c:pt>
                <c:pt idx="93">
                  <c:v>402.13</c:v>
                </c:pt>
                <c:pt idx="94">
                  <c:v>398.32</c:v>
                </c:pt>
                <c:pt idx="95">
                  <c:v>396.69</c:v>
                </c:pt>
                <c:pt idx="96">
                  <c:v>404.98</c:v>
                </c:pt>
                <c:pt idx="97">
                  <c:v>406.94</c:v>
                </c:pt>
                <c:pt idx="98">
                  <c:v>408.03</c:v>
                </c:pt>
                <c:pt idx="99">
                  <c:v>396.94</c:v>
                </c:pt>
                <c:pt idx="100">
                  <c:v>397.63</c:v>
                </c:pt>
                <c:pt idx="101">
                  <c:v>395.32</c:v>
                </c:pt>
                <c:pt idx="102">
                  <c:v>389.69</c:v>
                </c:pt>
                <c:pt idx="103">
                  <c:v>382.75</c:v>
                </c:pt>
                <c:pt idx="104">
                  <c:v>374.78</c:v>
                </c:pt>
                <c:pt idx="105">
                  <c:v>368.07</c:v>
                </c:pt>
                <c:pt idx="106">
                  <c:v>363.02</c:v>
                </c:pt>
                <c:pt idx="107">
                  <c:v>360.89</c:v>
                </c:pt>
                <c:pt idx="108">
                  <c:v>359.92</c:v>
                </c:pt>
                <c:pt idx="109">
                  <c:v>353.45</c:v>
                </c:pt>
                <c:pt idx="110">
                  <c:v>352.81</c:v>
                </c:pt>
                <c:pt idx="111">
                  <c:v>348.61</c:v>
                </c:pt>
                <c:pt idx="112">
                  <c:v>346.02</c:v>
                </c:pt>
                <c:pt idx="113">
                  <c:v>338.39</c:v>
                </c:pt>
                <c:pt idx="114">
                  <c:v>338.01</c:v>
                </c:pt>
                <c:pt idx="115">
                  <c:v>335.78</c:v>
                </c:pt>
                <c:pt idx="116">
                  <c:v>334.88</c:v>
                </c:pt>
                <c:pt idx="117">
                  <c:v>334.75</c:v>
                </c:pt>
                <c:pt idx="118">
                  <c:v>340.4</c:v>
                </c:pt>
                <c:pt idx="119">
                  <c:v>343.62</c:v>
                </c:pt>
                <c:pt idx="120">
                  <c:v>350.38</c:v>
                </c:pt>
                <c:pt idx="121">
                  <c:v>355.14</c:v>
                </c:pt>
                <c:pt idx="122">
                  <c:v>356.22</c:v>
                </c:pt>
                <c:pt idx="123">
                  <c:v>356.05</c:v>
                </c:pt>
                <c:pt idx="124">
                  <c:v>356.65</c:v>
                </c:pt>
                <c:pt idx="125">
                  <c:v>360.23</c:v>
                </c:pt>
                <c:pt idx="126">
                  <c:v>364.01</c:v>
                </c:pt>
                <c:pt idx="127">
                  <c:v>375.14</c:v>
                </c:pt>
                <c:pt idx="128">
                  <c:v>383.27</c:v>
                </c:pt>
                <c:pt idx="129">
                  <c:v>396</c:v>
                </c:pt>
                <c:pt idx="130">
                  <c:v>404.28</c:v>
                </c:pt>
                <c:pt idx="131">
                  <c:v>422.9</c:v>
                </c:pt>
                <c:pt idx="132">
                  <c:v>447.9</c:v>
                </c:pt>
                <c:pt idx="133">
                  <c:v>470.06</c:v>
                </c:pt>
                <c:pt idx="134">
                  <c:v>503.13</c:v>
                </c:pt>
                <c:pt idx="135">
                  <c:v>543.12</c:v>
                </c:pt>
                <c:pt idx="136">
                  <c:v>579.71</c:v>
                </c:pt>
                <c:pt idx="137">
                  <c:v>630.20000000000005</c:v>
                </c:pt>
                <c:pt idx="138">
                  <c:v>682.9</c:v>
                </c:pt>
                <c:pt idx="139">
                  <c:v>728.25</c:v>
                </c:pt>
                <c:pt idx="140">
                  <c:v>765.74</c:v>
                </c:pt>
                <c:pt idx="141">
                  <c:v>801.92</c:v>
                </c:pt>
                <c:pt idx="142">
                  <c:v>834.37</c:v>
                </c:pt>
                <c:pt idx="143">
                  <c:v>850.83</c:v>
                </c:pt>
                <c:pt idx="144">
                  <c:v>874.47</c:v>
                </c:pt>
                <c:pt idx="145">
                  <c:v>897.69</c:v>
                </c:pt>
                <c:pt idx="146">
                  <c:v>929.18</c:v>
                </c:pt>
                <c:pt idx="147">
                  <c:v>962.01</c:v>
                </c:pt>
                <c:pt idx="148">
                  <c:v>1001.6</c:v>
                </c:pt>
                <c:pt idx="149">
                  <c:v>1040.46</c:v>
                </c:pt>
                <c:pt idx="150">
                  <c:v>1073.5899999999999</c:v>
                </c:pt>
                <c:pt idx="151">
                  <c:v>1116.1400000000001</c:v>
                </c:pt>
                <c:pt idx="152">
                  <c:v>1162.1400000000001</c:v>
                </c:pt>
                <c:pt idx="153">
                  <c:v>1208.97</c:v>
                </c:pt>
                <c:pt idx="154">
                  <c:v>1246.6300000000001</c:v>
                </c:pt>
                <c:pt idx="155">
                  <c:v>1302.0899999999999</c:v>
                </c:pt>
                <c:pt idx="156">
                  <c:v>1365.87</c:v>
                </c:pt>
                <c:pt idx="157">
                  <c:v>1436.53</c:v>
                </c:pt>
                <c:pt idx="158">
                  <c:v>1506.53</c:v>
                </c:pt>
                <c:pt idx="159">
                  <c:v>1567.46</c:v>
                </c:pt>
                <c:pt idx="160">
                  <c:v>1619.98</c:v>
                </c:pt>
                <c:pt idx="161">
                  <c:v>1644.68</c:v>
                </c:pt>
                <c:pt idx="162">
                  <c:v>1676.98</c:v>
                </c:pt>
                <c:pt idx="163">
                  <c:v>1700.72</c:v>
                </c:pt>
                <c:pt idx="164">
                  <c:v>1720.84</c:v>
                </c:pt>
                <c:pt idx="165">
                  <c:v>1730.49</c:v>
                </c:pt>
                <c:pt idx="166">
                  <c:v>1733.51</c:v>
                </c:pt>
                <c:pt idx="167">
                  <c:v>1735.24</c:v>
                </c:pt>
                <c:pt idx="168">
                  <c:v>1751.33</c:v>
                </c:pt>
                <c:pt idx="169">
                  <c:v>1749.78</c:v>
                </c:pt>
                <c:pt idx="170">
                  <c:v>1747.31</c:v>
                </c:pt>
                <c:pt idx="171">
                  <c:v>1736.26</c:v>
                </c:pt>
                <c:pt idx="172">
                  <c:v>1730.97</c:v>
                </c:pt>
                <c:pt idx="173">
                  <c:v>1723.8</c:v>
                </c:pt>
                <c:pt idx="174">
                  <c:v>1715.78</c:v>
                </c:pt>
                <c:pt idx="175">
                  <c:v>1707.41</c:v>
                </c:pt>
                <c:pt idx="176">
                  <c:v>1695.1</c:v>
                </c:pt>
                <c:pt idx="177">
                  <c:v>1679.14</c:v>
                </c:pt>
                <c:pt idx="178">
                  <c:v>1659.51</c:v>
                </c:pt>
                <c:pt idx="179">
                  <c:v>1639.6</c:v>
                </c:pt>
                <c:pt idx="180">
                  <c:v>1618.07</c:v>
                </c:pt>
                <c:pt idx="181">
                  <c:v>1603.52</c:v>
                </c:pt>
                <c:pt idx="182">
                  <c:v>1582.35</c:v>
                </c:pt>
                <c:pt idx="183">
                  <c:v>1561.33</c:v>
                </c:pt>
                <c:pt idx="184">
                  <c:v>1540.09</c:v>
                </c:pt>
                <c:pt idx="185">
                  <c:v>1526.79</c:v>
                </c:pt>
                <c:pt idx="186">
                  <c:v>1505.57</c:v>
                </c:pt>
                <c:pt idx="187">
                  <c:v>1485.16</c:v>
                </c:pt>
                <c:pt idx="188">
                  <c:v>1466.89</c:v>
                </c:pt>
                <c:pt idx="189">
                  <c:v>1454.46</c:v>
                </c:pt>
                <c:pt idx="190">
                  <c:v>1440.48</c:v>
                </c:pt>
                <c:pt idx="191">
                  <c:v>1429.95</c:v>
                </c:pt>
                <c:pt idx="192">
                  <c:v>1421.65</c:v>
                </c:pt>
                <c:pt idx="193">
                  <c:v>1415.13</c:v>
                </c:pt>
                <c:pt idx="194">
                  <c:v>1409.58</c:v>
                </c:pt>
                <c:pt idx="195">
                  <c:v>1407.13</c:v>
                </c:pt>
                <c:pt idx="196">
                  <c:v>1407.4</c:v>
                </c:pt>
                <c:pt idx="197">
                  <c:v>1407.09</c:v>
                </c:pt>
                <c:pt idx="198">
                  <c:v>1408</c:v>
                </c:pt>
                <c:pt idx="199">
                  <c:v>1411.57</c:v>
                </c:pt>
                <c:pt idx="200">
                  <c:v>1412.65</c:v>
                </c:pt>
                <c:pt idx="201">
                  <c:v>1413.72</c:v>
                </c:pt>
                <c:pt idx="202">
                  <c:v>1411.13</c:v>
                </c:pt>
                <c:pt idx="203">
                  <c:v>1408.65</c:v>
                </c:pt>
                <c:pt idx="204">
                  <c:v>1401.31</c:v>
                </c:pt>
                <c:pt idx="205">
                  <c:v>1389.48</c:v>
                </c:pt>
                <c:pt idx="206">
                  <c:v>1369.83</c:v>
                </c:pt>
                <c:pt idx="207">
                  <c:v>1351.67</c:v>
                </c:pt>
                <c:pt idx="208">
                  <c:v>1317.75</c:v>
                </c:pt>
                <c:pt idx="209">
                  <c:v>1274.48</c:v>
                </c:pt>
                <c:pt idx="210">
                  <c:v>1218.76</c:v>
                </c:pt>
                <c:pt idx="211">
                  <c:v>1148.2</c:v>
                </c:pt>
                <c:pt idx="212">
                  <c:v>1060.1500000000001</c:v>
                </c:pt>
                <c:pt idx="213">
                  <c:v>953.19</c:v>
                </c:pt>
                <c:pt idx="214">
                  <c:v>874.37</c:v>
                </c:pt>
                <c:pt idx="215">
                  <c:v>720.52</c:v>
                </c:pt>
                <c:pt idx="216">
                  <c:v>547.99</c:v>
                </c:pt>
                <c:pt idx="217">
                  <c:v>391.68</c:v>
                </c:pt>
                <c:pt idx="218">
                  <c:v>204.79</c:v>
                </c:pt>
                <c:pt idx="219">
                  <c:v>76.25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06-49D9-93E5-7E046C3C2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79296"/>
        <c:axId val="79080832"/>
      </c:scatterChart>
      <c:valAx>
        <c:axId val="7907929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080832"/>
        <c:crosses val="autoZero"/>
        <c:crossBetween val="midCat"/>
      </c:valAx>
      <c:valAx>
        <c:axId val="7908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07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Puissance 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Feuil1!$A$3:$A$1600</c:f>
              <c:numCache>
                <c:formatCode>General</c:formatCode>
                <c:ptCount val="159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</c:v>
                </c:pt>
                <c:pt idx="432">
                  <c:v>2.1599999999999899</c:v>
                </c:pt>
                <c:pt idx="433">
                  <c:v>2.1649999999999898</c:v>
                </c:pt>
                <c:pt idx="434">
                  <c:v>2.1699999999999902</c:v>
                </c:pt>
                <c:pt idx="435">
                  <c:v>2.1749999999999901</c:v>
                </c:pt>
                <c:pt idx="436">
                  <c:v>2.1799999999999899</c:v>
                </c:pt>
                <c:pt idx="437">
                  <c:v>2.1849999999999898</c:v>
                </c:pt>
                <c:pt idx="438">
                  <c:v>2.1899999999999902</c:v>
                </c:pt>
                <c:pt idx="439">
                  <c:v>2.1949999999999901</c:v>
                </c:pt>
                <c:pt idx="440">
                  <c:v>2.19999999999999</c:v>
                </c:pt>
                <c:pt idx="441">
                  <c:v>2.2049999999999899</c:v>
                </c:pt>
                <c:pt idx="442">
                  <c:v>2.2099999999999902</c:v>
                </c:pt>
                <c:pt idx="443">
                  <c:v>2.2149999999999901</c:v>
                </c:pt>
                <c:pt idx="444">
                  <c:v>2.21999999999999</c:v>
                </c:pt>
                <c:pt idx="445">
                  <c:v>2.2249999999999899</c:v>
                </c:pt>
                <c:pt idx="446">
                  <c:v>2.2299999999999902</c:v>
                </c:pt>
                <c:pt idx="447">
                  <c:v>2.2349999999999901</c:v>
                </c:pt>
                <c:pt idx="448">
                  <c:v>2.23999999999999</c:v>
                </c:pt>
                <c:pt idx="449">
                  <c:v>2.2449999999999899</c:v>
                </c:pt>
                <c:pt idx="450">
                  <c:v>2.2499999999999898</c:v>
                </c:pt>
                <c:pt idx="451">
                  <c:v>2.2549999999999901</c:v>
                </c:pt>
                <c:pt idx="452">
                  <c:v>2.25999999999999</c:v>
                </c:pt>
                <c:pt idx="453">
                  <c:v>2.2649999999999899</c:v>
                </c:pt>
                <c:pt idx="454">
                  <c:v>2.2699999999999898</c:v>
                </c:pt>
                <c:pt idx="455">
                  <c:v>2.2749999999999901</c:v>
                </c:pt>
                <c:pt idx="456">
                  <c:v>2.27999999999999</c:v>
                </c:pt>
                <c:pt idx="457">
                  <c:v>2.2849999999999899</c:v>
                </c:pt>
                <c:pt idx="458">
                  <c:v>2.2899999999999898</c:v>
                </c:pt>
                <c:pt idx="459">
                  <c:v>2.2949999999999902</c:v>
                </c:pt>
                <c:pt idx="460">
                  <c:v>2.2999999999999901</c:v>
                </c:pt>
                <c:pt idx="461">
                  <c:v>2.3049999999999899</c:v>
                </c:pt>
                <c:pt idx="462">
                  <c:v>2.3099999999999898</c:v>
                </c:pt>
                <c:pt idx="463">
                  <c:v>2.3149999999999902</c:v>
                </c:pt>
                <c:pt idx="464">
                  <c:v>2.3199999999999901</c:v>
                </c:pt>
                <c:pt idx="465">
                  <c:v>2.32499999999999</c:v>
                </c:pt>
                <c:pt idx="466">
                  <c:v>2.3299999999999899</c:v>
                </c:pt>
                <c:pt idx="467">
                  <c:v>2.3349999999999902</c:v>
                </c:pt>
                <c:pt idx="468">
                  <c:v>2.3399999999999901</c:v>
                </c:pt>
                <c:pt idx="469">
                  <c:v>2.34499999999999</c:v>
                </c:pt>
                <c:pt idx="470">
                  <c:v>2.3499999999999899</c:v>
                </c:pt>
                <c:pt idx="471">
                  <c:v>2.3549999999999902</c:v>
                </c:pt>
                <c:pt idx="472">
                  <c:v>2.3599999999999901</c:v>
                </c:pt>
                <c:pt idx="473">
                  <c:v>2.36499999999999</c:v>
                </c:pt>
                <c:pt idx="474">
                  <c:v>2.3699999999999899</c:v>
                </c:pt>
                <c:pt idx="475">
                  <c:v>2.3749999999999898</c:v>
                </c:pt>
                <c:pt idx="476">
                  <c:v>2.3799999999999901</c:v>
                </c:pt>
                <c:pt idx="477">
                  <c:v>2.38499999999999</c:v>
                </c:pt>
                <c:pt idx="478">
                  <c:v>2.3899999999999899</c:v>
                </c:pt>
                <c:pt idx="479">
                  <c:v>2.3949999999999898</c:v>
                </c:pt>
                <c:pt idx="480">
                  <c:v>2.3999999999999901</c:v>
                </c:pt>
                <c:pt idx="481">
                  <c:v>2.40499999999999</c:v>
                </c:pt>
                <c:pt idx="482">
                  <c:v>2.4099999999999899</c:v>
                </c:pt>
                <c:pt idx="483">
                  <c:v>2.4149999999999898</c:v>
                </c:pt>
                <c:pt idx="484">
                  <c:v>2.4199999999999902</c:v>
                </c:pt>
                <c:pt idx="485">
                  <c:v>2.4249999999999901</c:v>
                </c:pt>
                <c:pt idx="486">
                  <c:v>2.4299999999999899</c:v>
                </c:pt>
                <c:pt idx="487">
                  <c:v>2.4349999999999898</c:v>
                </c:pt>
                <c:pt idx="488">
                  <c:v>2.4399999999999902</c:v>
                </c:pt>
                <c:pt idx="489">
                  <c:v>2.4449999999999901</c:v>
                </c:pt>
                <c:pt idx="490">
                  <c:v>2.44999999999999</c:v>
                </c:pt>
                <c:pt idx="491">
                  <c:v>2.4549999999999899</c:v>
                </c:pt>
                <c:pt idx="492">
                  <c:v>2.4599999999999902</c:v>
                </c:pt>
                <c:pt idx="493">
                  <c:v>2.4649999999999901</c:v>
                </c:pt>
                <c:pt idx="494">
                  <c:v>2.46999999999999</c:v>
                </c:pt>
                <c:pt idx="495">
                  <c:v>2.4749999999999899</c:v>
                </c:pt>
                <c:pt idx="496">
                  <c:v>2.4799999999999902</c:v>
                </c:pt>
                <c:pt idx="497">
                  <c:v>2.4849999999999901</c:v>
                </c:pt>
                <c:pt idx="498">
                  <c:v>2.48999999999999</c:v>
                </c:pt>
                <c:pt idx="499">
                  <c:v>2.4949999999999899</c:v>
                </c:pt>
                <c:pt idx="500">
                  <c:v>2.4999999999999898</c:v>
                </c:pt>
                <c:pt idx="501">
                  <c:v>2.5049999999999901</c:v>
                </c:pt>
                <c:pt idx="502">
                  <c:v>2.50999999999999</c:v>
                </c:pt>
                <c:pt idx="503">
                  <c:v>2.5149999999999899</c:v>
                </c:pt>
                <c:pt idx="504">
                  <c:v>2.5199999999999898</c:v>
                </c:pt>
                <c:pt idx="505">
                  <c:v>2.5249999999999901</c:v>
                </c:pt>
                <c:pt idx="506">
                  <c:v>2.52999999999999</c:v>
                </c:pt>
                <c:pt idx="507">
                  <c:v>2.5349999999999899</c:v>
                </c:pt>
                <c:pt idx="508">
                  <c:v>2.5399999999999898</c:v>
                </c:pt>
                <c:pt idx="509">
                  <c:v>2.5449999999999902</c:v>
                </c:pt>
                <c:pt idx="510">
                  <c:v>2.5499999999999901</c:v>
                </c:pt>
                <c:pt idx="511">
                  <c:v>2.5549999999999899</c:v>
                </c:pt>
                <c:pt idx="512">
                  <c:v>2.5599999999999898</c:v>
                </c:pt>
                <c:pt idx="513">
                  <c:v>2.5649999999999902</c:v>
                </c:pt>
                <c:pt idx="514">
                  <c:v>2.5699999999999901</c:v>
                </c:pt>
                <c:pt idx="515">
                  <c:v>2.57499999999999</c:v>
                </c:pt>
                <c:pt idx="516">
                  <c:v>2.5799999999999899</c:v>
                </c:pt>
              </c:numCache>
            </c:numRef>
          </c:xVal>
          <c:yVal>
            <c:numRef>
              <c:f>Feuil1!$G$3:$G$1600</c:f>
              <c:numCache>
                <c:formatCode>General</c:formatCode>
                <c:ptCount val="1598"/>
                <c:pt idx="1">
                  <c:v>-2.3079025595778999E-2</c:v>
                </c:pt>
                <c:pt idx="2">
                  <c:v>-7.4026271727189327E-2</c:v>
                </c:pt>
                <c:pt idx="3">
                  <c:v>-0.13553917687757114</c:v>
                </c:pt>
                <c:pt idx="4">
                  <c:v>-0.18974848406636216</c:v>
                </c:pt>
                <c:pt idx="5">
                  <c:v>-0.24192183493169364</c:v>
                </c:pt>
                <c:pt idx="6">
                  <c:v>-0.29080462762025538</c:v>
                </c:pt>
                <c:pt idx="7">
                  <c:v>-0.32218521439720149</c:v>
                </c:pt>
                <c:pt idx="8">
                  <c:v>-0.32814827237844924</c:v>
                </c:pt>
                <c:pt idx="9">
                  <c:v>-0.31456386844738871</c:v>
                </c:pt>
                <c:pt idx="10">
                  <c:v>-0.28775744838606537</c:v>
                </c:pt>
                <c:pt idx="11">
                  <c:v>-0.24883578159984587</c:v>
                </c:pt>
                <c:pt idx="12">
                  <c:v>-0.20105802458109484</c:v>
                </c:pt>
                <c:pt idx="13">
                  <c:v>-0.14732663258316725</c:v>
                </c:pt>
                <c:pt idx="14">
                  <c:v>-9.8213426706249884E-2</c:v>
                </c:pt>
                <c:pt idx="15">
                  <c:v>-6.3118706289765972E-2</c:v>
                </c:pt>
                <c:pt idx="16">
                  <c:v>-3.6171178389476401E-2</c:v>
                </c:pt>
                <c:pt idx="17">
                  <c:v>-1.657978294522745E-2</c:v>
                </c:pt>
                <c:pt idx="18">
                  <c:v>-3.1379924755272413E-3</c:v>
                </c:pt>
                <c:pt idx="19">
                  <c:v>7.3559792476085735E-4</c:v>
                </c:pt>
                <c:pt idx="20">
                  <c:v>-1.1327301562733871E-2</c:v>
                </c:pt>
                <c:pt idx="21">
                  <c:v>-3.5875504036114579E-2</c:v>
                </c:pt>
                <c:pt idx="22">
                  <c:v>-8.1189500285525545E-2</c:v>
                </c:pt>
                <c:pt idx="23">
                  <c:v>-0.14145389832693114</c:v>
                </c:pt>
                <c:pt idx="24">
                  <c:v>-0.20633719936232237</c:v>
                </c:pt>
                <c:pt idx="25">
                  <c:v>-0.27803924633477917</c:v>
                </c:pt>
                <c:pt idx="26">
                  <c:v>-0.35154091268830784</c:v>
                </c:pt>
                <c:pt idx="27">
                  <c:v>-0.42042804083961399</c:v>
                </c:pt>
                <c:pt idx="28">
                  <c:v>-0.48751639699531779</c:v>
                </c:pt>
                <c:pt idx="29">
                  <c:v>-0.54898105980997824</c:v>
                </c:pt>
                <c:pt idx="30">
                  <c:v>-0.59394393848534976</c:v>
                </c:pt>
                <c:pt idx="31">
                  <c:v>-0.62878472963179743</c:v>
                </c:pt>
                <c:pt idx="32">
                  <c:v>-0.65797721694205769</c:v>
                </c:pt>
                <c:pt idx="33">
                  <c:v>-0.66506341248693235</c:v>
                </c:pt>
                <c:pt idx="34">
                  <c:v>-0.63900118828632102</c:v>
                </c:pt>
                <c:pt idx="35">
                  <c:v>-0.57044963045544561</c:v>
                </c:pt>
                <c:pt idx="36">
                  <c:v>-0.45783202738740914</c:v>
                </c:pt>
                <c:pt idx="37">
                  <c:v>-0.32160058651627393</c:v>
                </c:pt>
                <c:pt idx="38">
                  <c:v>-0.17807938654749986</c:v>
                </c:pt>
                <c:pt idx="39">
                  <c:v>-4.5339756767294688E-2</c:v>
                </c:pt>
                <c:pt idx="40">
                  <c:v>8.6592285909718722E-2</c:v>
                </c:pt>
                <c:pt idx="41">
                  <c:v>0.22115103098955474</c:v>
                </c:pt>
                <c:pt idx="42">
                  <c:v>0.33333087056267852</c:v>
                </c:pt>
                <c:pt idx="43">
                  <c:v>0.43821676026305723</c:v>
                </c:pt>
                <c:pt idx="44">
                  <c:v>0.53695757169180436</c:v>
                </c:pt>
                <c:pt idx="45">
                  <c:v>0.61322866096761386</c:v>
                </c:pt>
                <c:pt idx="46">
                  <c:v>0.65248290460945668</c:v>
                </c:pt>
                <c:pt idx="47">
                  <c:v>0.63074267996231181</c:v>
                </c:pt>
                <c:pt idx="48">
                  <c:v>0.5697858881714849</c:v>
                </c:pt>
                <c:pt idx="49">
                  <c:v>0.50667438617126681</c:v>
                </c:pt>
                <c:pt idx="50">
                  <c:v>0.4549506050745637</c:v>
                </c:pt>
                <c:pt idx="51">
                  <c:v>0.43039562011275001</c:v>
                </c:pt>
                <c:pt idx="52">
                  <c:v>0.43831115749128896</c:v>
                </c:pt>
                <c:pt idx="53">
                  <c:v>0.46389056679717644</c:v>
                </c:pt>
                <c:pt idx="54">
                  <c:v>0.47461552407043839</c:v>
                </c:pt>
                <c:pt idx="55">
                  <c:v>0.43373649747627652</c:v>
                </c:pt>
                <c:pt idx="56">
                  <c:v>0.32632692247859729</c:v>
                </c:pt>
                <c:pt idx="57">
                  <c:v>0.10547910870835812</c:v>
                </c:pt>
                <c:pt idx="58">
                  <c:v>-0.22610827949038445</c:v>
                </c:pt>
                <c:pt idx="59">
                  <c:v>-0.69679779858570423</c:v>
                </c:pt>
                <c:pt idx="60">
                  <c:v>-1.3782283706287319</c:v>
                </c:pt>
                <c:pt idx="61">
                  <c:v>-2.2455007436655126</c:v>
                </c:pt>
                <c:pt idx="62">
                  <c:v>-3.3049367284214068</c:v>
                </c:pt>
                <c:pt idx="63">
                  <c:v>-4.5615922022575859</c:v>
                </c:pt>
                <c:pt idx="64">
                  <c:v>-5.9627856050872863</c:v>
                </c:pt>
                <c:pt idx="65">
                  <c:v>-7.5284029149426717</c:v>
                </c:pt>
                <c:pt idx="66">
                  <c:v>-9.2667613007860226</c:v>
                </c:pt>
                <c:pt idx="67">
                  <c:v>-11.089118532285323</c:v>
                </c:pt>
                <c:pt idx="68">
                  <c:v>-12.989992550149731</c:v>
                </c:pt>
                <c:pt idx="69">
                  <c:v>-14.977739481131907</c:v>
                </c:pt>
                <c:pt idx="70">
                  <c:v>-16.917054345648328</c:v>
                </c:pt>
                <c:pt idx="71">
                  <c:v>-19.031324458232781</c:v>
                </c:pt>
                <c:pt idx="72">
                  <c:v>-21.361496561035882</c:v>
                </c:pt>
                <c:pt idx="73">
                  <c:v>-23.983147759601366</c:v>
                </c:pt>
                <c:pt idx="74">
                  <c:v>-26.929651743535892</c:v>
                </c:pt>
                <c:pt idx="75">
                  <c:v>-30.222810313281386</c:v>
                </c:pt>
                <c:pt idx="76">
                  <c:v>-34.082408476620117</c:v>
                </c:pt>
                <c:pt idx="77">
                  <c:v>-37.89293027870481</c:v>
                </c:pt>
                <c:pt idx="78">
                  <c:v>-41.988479485845033</c:v>
                </c:pt>
                <c:pt idx="79">
                  <c:v>-46.741421774589831</c:v>
                </c:pt>
                <c:pt idx="80">
                  <c:v>-51.250071188627331</c:v>
                </c:pt>
                <c:pt idx="81">
                  <c:v>-55.913310849855939</c:v>
                </c:pt>
                <c:pt idx="82">
                  <c:v>-60.772830218658591</c:v>
                </c:pt>
                <c:pt idx="83">
                  <c:v>-66.578609525479507</c:v>
                </c:pt>
                <c:pt idx="84">
                  <c:v>-71.76743508939785</c:v>
                </c:pt>
                <c:pt idx="85">
                  <c:v>-77.31586653981087</c:v>
                </c:pt>
                <c:pt idx="86">
                  <c:v>-83.635378976462874</c:v>
                </c:pt>
                <c:pt idx="87">
                  <c:v>-89.257220066410838</c:v>
                </c:pt>
                <c:pt idx="88">
                  <c:v>-95.21591897916305</c:v>
                </c:pt>
                <c:pt idx="89">
                  <c:v>-101.50593343128938</c:v>
                </c:pt>
                <c:pt idx="90">
                  <c:v>-108.36132496457952</c:v>
                </c:pt>
                <c:pt idx="91">
                  <c:v>-115.58791468870956</c:v>
                </c:pt>
                <c:pt idx="92">
                  <c:v>-122.5508439231936</c:v>
                </c:pt>
                <c:pt idx="93">
                  <c:v>-129.98843792430071</c:v>
                </c:pt>
                <c:pt idx="94">
                  <c:v>-136.83608011217439</c:v>
                </c:pt>
                <c:pt idx="95">
                  <c:v>-144.39983790395249</c:v>
                </c:pt>
                <c:pt idx="96">
                  <c:v>-155.6140497906693</c:v>
                </c:pt>
                <c:pt idx="97">
                  <c:v>-164.45350231843187</c:v>
                </c:pt>
                <c:pt idx="98">
                  <c:v>-172.95725035435737</c:v>
                </c:pt>
                <c:pt idx="99">
                  <c:v>-176.24313431353369</c:v>
                </c:pt>
                <c:pt idx="100">
                  <c:v>-184.698751722216</c:v>
                </c:pt>
                <c:pt idx="101">
                  <c:v>-191.75068632480972</c:v>
                </c:pt>
                <c:pt idx="102">
                  <c:v>-197.14025759993697</c:v>
                </c:pt>
                <c:pt idx="103">
                  <c:v>-201.7780824776718</c:v>
                </c:pt>
                <c:pt idx="104">
                  <c:v>-205.75630173293902</c:v>
                </c:pt>
                <c:pt idx="105">
                  <c:v>-210.30005028438973</c:v>
                </c:pt>
                <c:pt idx="106">
                  <c:v>-215.68280423143739</c:v>
                </c:pt>
                <c:pt idx="107">
                  <c:v>-222.73002334044247</c:v>
                </c:pt>
                <c:pt idx="108">
                  <c:v>-230.46185104271575</c:v>
                </c:pt>
                <c:pt idx="109">
                  <c:v>-234.59425523881248</c:v>
                </c:pt>
                <c:pt idx="110">
                  <c:v>-242.51987260229581</c:v>
                </c:pt>
                <c:pt idx="111">
                  <c:v>-247.94444647758158</c:v>
                </c:pt>
                <c:pt idx="112">
                  <c:v>-254.43665982679835</c:v>
                </c:pt>
                <c:pt idx="113">
                  <c:v>-257.1009679207699</c:v>
                </c:pt>
                <c:pt idx="114">
                  <c:v>-265.17508848735019</c:v>
                </c:pt>
                <c:pt idx="115">
                  <c:v>-271.76477061307787</c:v>
                </c:pt>
                <c:pt idx="116">
                  <c:v>-279.39082849857419</c:v>
                </c:pt>
                <c:pt idx="117">
                  <c:v>-287.64599353441639</c:v>
                </c:pt>
                <c:pt idx="118">
                  <c:v>-300.93821900469629</c:v>
                </c:pt>
                <c:pt idx="119">
                  <c:v>-312.19246683869329</c:v>
                </c:pt>
                <c:pt idx="120">
                  <c:v>-326.78146328937117</c:v>
                </c:pt>
                <c:pt idx="121">
                  <c:v>-339.635865574001</c:v>
                </c:pt>
                <c:pt idx="122">
                  <c:v>-349.03453825033836</c:v>
                </c:pt>
                <c:pt idx="123">
                  <c:v>-357.21815235149171</c:v>
                </c:pt>
                <c:pt idx="124">
                  <c:v>-366.17886573277929</c:v>
                </c:pt>
                <c:pt idx="125">
                  <c:v>-378.24304939740449</c:v>
                </c:pt>
                <c:pt idx="126">
                  <c:v>-390.59234076518095</c:v>
                </c:pt>
                <c:pt idx="127">
                  <c:v>-410.97062111511616</c:v>
                </c:pt>
                <c:pt idx="128">
                  <c:v>-428.23016082154368</c:v>
                </c:pt>
                <c:pt idx="129">
                  <c:v>-450.78706652776418</c:v>
                </c:pt>
                <c:pt idx="130">
                  <c:v>-468.41519628301864</c:v>
                </c:pt>
                <c:pt idx="131">
                  <c:v>-498.16061935909801</c:v>
                </c:pt>
                <c:pt idx="132">
                  <c:v>-535.56216072704103</c:v>
                </c:pt>
                <c:pt idx="133">
                  <c:v>-569.60850853001182</c:v>
                </c:pt>
                <c:pt idx="134">
                  <c:v>-616.76371295565718</c:v>
                </c:pt>
                <c:pt idx="135">
                  <c:v>-672.00412301296046</c:v>
                </c:pt>
                <c:pt idx="136">
                  <c:v>-722.31906674932202</c:v>
                </c:pt>
                <c:pt idx="137">
                  <c:v>-788.73858604230554</c:v>
                </c:pt>
                <c:pt idx="138">
                  <c:v>-855.96612154843092</c:v>
                </c:pt>
                <c:pt idx="139">
                  <c:v>-911.59711994137399</c:v>
                </c:pt>
                <c:pt idx="140">
                  <c:v>-954.97168746036971</c:v>
                </c:pt>
                <c:pt idx="141">
                  <c:v>-994.24745793173349</c:v>
                </c:pt>
                <c:pt idx="142">
                  <c:v>-1026.3404866540934</c:v>
                </c:pt>
                <c:pt idx="143">
                  <c:v>-1036.791891245093</c:v>
                </c:pt>
                <c:pt idx="144">
                  <c:v>-1054.2707008419982</c:v>
                </c:pt>
                <c:pt idx="145">
                  <c:v>-1069.1243507947677</c:v>
                </c:pt>
                <c:pt idx="146">
                  <c:v>-1091.199549925552</c:v>
                </c:pt>
                <c:pt idx="147">
                  <c:v>-1111.5566727766429</c:v>
                </c:pt>
                <c:pt idx="148">
                  <c:v>-1135.7479455664948</c:v>
                </c:pt>
                <c:pt idx="149">
                  <c:v>-1154.4898837278311</c:v>
                </c:pt>
                <c:pt idx="150">
                  <c:v>-1162.344161485104</c:v>
                </c:pt>
                <c:pt idx="151">
                  <c:v>-1175.3238128119515</c:v>
                </c:pt>
                <c:pt idx="152">
                  <c:v>-1185.6130241152277</c:v>
                </c:pt>
                <c:pt idx="153">
                  <c:v>-1189.6683388379681</c:v>
                </c:pt>
                <c:pt idx="154">
                  <c:v>-1177.8593107894442</c:v>
                </c:pt>
                <c:pt idx="155">
                  <c:v>-1174.8605142210774</c:v>
                </c:pt>
                <c:pt idx="156">
                  <c:v>-1168.4423883006075</c:v>
                </c:pt>
                <c:pt idx="157">
                  <c:v>-1154.6730993079927</c:v>
                </c:pt>
                <c:pt idx="158">
                  <c:v>-1125.4907350495278</c:v>
                </c:pt>
                <c:pt idx="159">
                  <c:v>-1074.7307553688984</c:v>
                </c:pt>
                <c:pt idx="160">
                  <c:v>-1004.6309578597242</c:v>
                </c:pt>
                <c:pt idx="161">
                  <c:v>-907.65636634793896</c:v>
                </c:pt>
                <c:pt idx="162">
                  <c:v>-807.54902397675994</c:v>
                </c:pt>
                <c:pt idx="163">
                  <c:v>-695.95341622801504</c:v>
                </c:pt>
                <c:pt idx="164">
                  <c:v>-576.99122144547664</c:v>
                </c:pt>
                <c:pt idx="165">
                  <c:v>-450.4666133968787</c:v>
                </c:pt>
                <c:pt idx="166">
                  <c:v>-320.47675199436594</c:v>
                </c:pt>
                <c:pt idx="167">
                  <c:v>-189.59384936703134</c:v>
                </c:pt>
                <c:pt idx="168">
                  <c:v>-57.810964859675849</c:v>
                </c:pt>
                <c:pt idx="169">
                  <c:v>76.577236192622891</c:v>
                </c:pt>
                <c:pt idx="170">
                  <c:v>210.36410750413961</c:v>
                </c:pt>
                <c:pt idx="171">
                  <c:v>341.23835673130645</c:v>
                </c:pt>
                <c:pt idx="172">
                  <c:v>470.98399557621741</c:v>
                </c:pt>
                <c:pt idx="173">
                  <c:v>598.50477080786015</c:v>
                </c:pt>
                <c:pt idx="174">
                  <c:v>723.65288328432598</c:v>
                </c:pt>
                <c:pt idx="175">
                  <c:v>846.42558960953193</c:v>
                </c:pt>
                <c:pt idx="176">
                  <c:v>964.45552213884707</c:v>
                </c:pt>
                <c:pt idx="177">
                  <c:v>1076.6325474956379</c:v>
                </c:pt>
                <c:pt idx="178">
                  <c:v>1181.763753901133</c:v>
                </c:pt>
                <c:pt idx="179">
                  <c:v>1281.5609248007224</c:v>
                </c:pt>
                <c:pt idx="180">
                  <c:v>1374.8014290796486</c:v>
                </c:pt>
                <c:pt idx="181">
                  <c:v>1469.4389826628649</c:v>
                </c:pt>
                <c:pt idx="182">
                  <c:v>1553.5952628611051</c:v>
                </c:pt>
                <c:pt idx="183">
                  <c:v>1632.7703724438841</c:v>
                </c:pt>
                <c:pt idx="184">
                  <c:v>1706.6747962481586</c:v>
                </c:pt>
                <c:pt idx="185">
                  <c:v>1785.3272162301207</c:v>
                </c:pt>
                <c:pt idx="186">
                  <c:v>1850.7391940562686</c:v>
                </c:pt>
                <c:pt idx="187">
                  <c:v>1912.4301263443297</c:v>
                </c:pt>
                <c:pt idx="188">
                  <c:v>1972.577480569465</c:v>
                </c:pt>
                <c:pt idx="189">
                  <c:v>2037.222201161781</c:v>
                </c:pt>
                <c:pt idx="190">
                  <c:v>2096.8513527602554</c:v>
                </c:pt>
                <c:pt idx="191">
                  <c:v>2158.8951908194349</c:v>
                </c:pt>
                <c:pt idx="192">
                  <c:v>2222.3249044374243</c:v>
                </c:pt>
                <c:pt idx="193">
                  <c:v>2286.9915576381268</c:v>
                </c:pt>
                <c:pt idx="194">
                  <c:v>2351.9758992565867</c:v>
                </c:pt>
                <c:pt idx="195">
                  <c:v>2421.3085139989539</c:v>
                </c:pt>
                <c:pt idx="196">
                  <c:v>2495.0975382972174</c:v>
                </c:pt>
                <c:pt idx="197">
                  <c:v>2567.8542076551767</c:v>
                </c:pt>
                <c:pt idx="198">
                  <c:v>2642.8989225506766</c:v>
                </c:pt>
                <c:pt idx="199">
                  <c:v>2723.3973760550066</c:v>
                </c:pt>
                <c:pt idx="200">
                  <c:v>2799.5709502465697</c:v>
                </c:pt>
                <c:pt idx="201">
                  <c:v>2875.9467027422429</c:v>
                </c:pt>
                <c:pt idx="202">
                  <c:v>2944.719953444308</c:v>
                </c:pt>
                <c:pt idx="203">
                  <c:v>3013.2000611604403</c:v>
                </c:pt>
                <c:pt idx="204">
                  <c:v>3070.2762837483228</c:v>
                </c:pt>
                <c:pt idx="205">
                  <c:v>3115.5620410888137</c:v>
                </c:pt>
                <c:pt idx="206">
                  <c:v>3140.150438437387</c:v>
                </c:pt>
                <c:pt idx="207">
                  <c:v>3164.4229410698827</c:v>
                </c:pt>
                <c:pt idx="208">
                  <c:v>3146.7937883028453</c:v>
                </c:pt>
                <c:pt idx="209">
                  <c:v>3099.6822965301621</c:v>
                </c:pt>
                <c:pt idx="210">
                  <c:v>3013.5887378266152</c:v>
                </c:pt>
                <c:pt idx="211">
                  <c:v>2880.4689514136671</c:v>
                </c:pt>
                <c:pt idx="212">
                  <c:v>2691.717052396511</c:v>
                </c:pt>
                <c:pt idx="213">
                  <c:v>2442.3609101276452</c:v>
                </c:pt>
                <c:pt idx="214">
                  <c:v>2254.940369541393</c:v>
                </c:pt>
                <c:pt idx="215">
                  <c:v>1864.1286604479135</c:v>
                </c:pt>
                <c:pt idx="216">
                  <c:v>1415.8620641783561</c:v>
                </c:pt>
                <c:pt idx="217">
                  <c:v>1006.013283457512</c:v>
                </c:pt>
                <c:pt idx="218">
                  <c:v>520.33927658727293</c:v>
                </c:pt>
                <c:pt idx="219">
                  <c:v>190.76936159156671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9F-42F9-9DC8-06D6C1488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00928"/>
        <c:axId val="78729984"/>
      </c:scatterChart>
      <c:valAx>
        <c:axId val="7910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29984"/>
        <c:crosses val="autoZero"/>
        <c:crossBetween val="midCat"/>
      </c:valAx>
      <c:valAx>
        <c:axId val="787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10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90993420343"/>
          <c:y val="5.1371852784523574E-2"/>
          <c:w val="0.80576938841548906"/>
          <c:h val="0.826246199512537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Feuil1!$A$3:$A$1600</c:f>
              <c:numCache>
                <c:formatCode>General</c:formatCode>
                <c:ptCount val="159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</c:v>
                </c:pt>
                <c:pt idx="432">
                  <c:v>2.1599999999999899</c:v>
                </c:pt>
                <c:pt idx="433">
                  <c:v>2.1649999999999898</c:v>
                </c:pt>
                <c:pt idx="434">
                  <c:v>2.1699999999999902</c:v>
                </c:pt>
                <c:pt idx="435">
                  <c:v>2.1749999999999901</c:v>
                </c:pt>
                <c:pt idx="436">
                  <c:v>2.1799999999999899</c:v>
                </c:pt>
                <c:pt idx="437">
                  <c:v>2.1849999999999898</c:v>
                </c:pt>
                <c:pt idx="438">
                  <c:v>2.1899999999999902</c:v>
                </c:pt>
                <c:pt idx="439">
                  <c:v>2.1949999999999901</c:v>
                </c:pt>
                <c:pt idx="440">
                  <c:v>2.19999999999999</c:v>
                </c:pt>
                <c:pt idx="441">
                  <c:v>2.2049999999999899</c:v>
                </c:pt>
                <c:pt idx="442">
                  <c:v>2.2099999999999902</c:v>
                </c:pt>
                <c:pt idx="443">
                  <c:v>2.2149999999999901</c:v>
                </c:pt>
                <c:pt idx="444">
                  <c:v>2.21999999999999</c:v>
                </c:pt>
                <c:pt idx="445">
                  <c:v>2.2249999999999899</c:v>
                </c:pt>
                <c:pt idx="446">
                  <c:v>2.2299999999999902</c:v>
                </c:pt>
                <c:pt idx="447">
                  <c:v>2.2349999999999901</c:v>
                </c:pt>
                <c:pt idx="448">
                  <c:v>2.23999999999999</c:v>
                </c:pt>
                <c:pt idx="449">
                  <c:v>2.2449999999999899</c:v>
                </c:pt>
                <c:pt idx="450">
                  <c:v>2.2499999999999898</c:v>
                </c:pt>
                <c:pt idx="451">
                  <c:v>2.2549999999999901</c:v>
                </c:pt>
                <c:pt idx="452">
                  <c:v>2.25999999999999</c:v>
                </c:pt>
                <c:pt idx="453">
                  <c:v>2.2649999999999899</c:v>
                </c:pt>
                <c:pt idx="454">
                  <c:v>2.2699999999999898</c:v>
                </c:pt>
                <c:pt idx="455">
                  <c:v>2.2749999999999901</c:v>
                </c:pt>
                <c:pt idx="456">
                  <c:v>2.27999999999999</c:v>
                </c:pt>
                <c:pt idx="457">
                  <c:v>2.2849999999999899</c:v>
                </c:pt>
                <c:pt idx="458">
                  <c:v>2.2899999999999898</c:v>
                </c:pt>
                <c:pt idx="459">
                  <c:v>2.2949999999999902</c:v>
                </c:pt>
                <c:pt idx="460">
                  <c:v>2.2999999999999901</c:v>
                </c:pt>
                <c:pt idx="461">
                  <c:v>2.3049999999999899</c:v>
                </c:pt>
                <c:pt idx="462">
                  <c:v>2.3099999999999898</c:v>
                </c:pt>
                <c:pt idx="463">
                  <c:v>2.3149999999999902</c:v>
                </c:pt>
                <c:pt idx="464">
                  <c:v>2.3199999999999901</c:v>
                </c:pt>
                <c:pt idx="465">
                  <c:v>2.32499999999999</c:v>
                </c:pt>
                <c:pt idx="466">
                  <c:v>2.3299999999999899</c:v>
                </c:pt>
                <c:pt idx="467">
                  <c:v>2.3349999999999902</c:v>
                </c:pt>
                <c:pt idx="468">
                  <c:v>2.3399999999999901</c:v>
                </c:pt>
                <c:pt idx="469">
                  <c:v>2.34499999999999</c:v>
                </c:pt>
                <c:pt idx="470">
                  <c:v>2.3499999999999899</c:v>
                </c:pt>
                <c:pt idx="471">
                  <c:v>2.3549999999999902</c:v>
                </c:pt>
                <c:pt idx="472">
                  <c:v>2.3599999999999901</c:v>
                </c:pt>
                <c:pt idx="473">
                  <c:v>2.36499999999999</c:v>
                </c:pt>
                <c:pt idx="474">
                  <c:v>2.3699999999999899</c:v>
                </c:pt>
                <c:pt idx="475">
                  <c:v>2.3749999999999898</c:v>
                </c:pt>
                <c:pt idx="476">
                  <c:v>2.3799999999999901</c:v>
                </c:pt>
                <c:pt idx="477">
                  <c:v>2.38499999999999</c:v>
                </c:pt>
                <c:pt idx="478">
                  <c:v>2.3899999999999899</c:v>
                </c:pt>
                <c:pt idx="479">
                  <c:v>2.3949999999999898</c:v>
                </c:pt>
                <c:pt idx="480">
                  <c:v>2.3999999999999901</c:v>
                </c:pt>
                <c:pt idx="481">
                  <c:v>2.40499999999999</c:v>
                </c:pt>
                <c:pt idx="482">
                  <c:v>2.4099999999999899</c:v>
                </c:pt>
                <c:pt idx="483">
                  <c:v>2.4149999999999898</c:v>
                </c:pt>
                <c:pt idx="484">
                  <c:v>2.4199999999999902</c:v>
                </c:pt>
                <c:pt idx="485">
                  <c:v>2.4249999999999901</c:v>
                </c:pt>
                <c:pt idx="486">
                  <c:v>2.4299999999999899</c:v>
                </c:pt>
                <c:pt idx="487">
                  <c:v>2.4349999999999898</c:v>
                </c:pt>
                <c:pt idx="488">
                  <c:v>2.4399999999999902</c:v>
                </c:pt>
                <c:pt idx="489">
                  <c:v>2.4449999999999901</c:v>
                </c:pt>
                <c:pt idx="490">
                  <c:v>2.44999999999999</c:v>
                </c:pt>
                <c:pt idx="491">
                  <c:v>2.4549999999999899</c:v>
                </c:pt>
                <c:pt idx="492">
                  <c:v>2.4599999999999902</c:v>
                </c:pt>
                <c:pt idx="493">
                  <c:v>2.4649999999999901</c:v>
                </c:pt>
                <c:pt idx="494">
                  <c:v>2.46999999999999</c:v>
                </c:pt>
                <c:pt idx="495">
                  <c:v>2.4749999999999899</c:v>
                </c:pt>
                <c:pt idx="496">
                  <c:v>2.4799999999999902</c:v>
                </c:pt>
                <c:pt idx="497">
                  <c:v>2.4849999999999901</c:v>
                </c:pt>
                <c:pt idx="498">
                  <c:v>2.48999999999999</c:v>
                </c:pt>
                <c:pt idx="499">
                  <c:v>2.4949999999999899</c:v>
                </c:pt>
                <c:pt idx="500">
                  <c:v>2.4999999999999898</c:v>
                </c:pt>
                <c:pt idx="501">
                  <c:v>2.5049999999999901</c:v>
                </c:pt>
                <c:pt idx="502">
                  <c:v>2.50999999999999</c:v>
                </c:pt>
                <c:pt idx="503">
                  <c:v>2.5149999999999899</c:v>
                </c:pt>
                <c:pt idx="504">
                  <c:v>2.5199999999999898</c:v>
                </c:pt>
                <c:pt idx="505">
                  <c:v>2.5249999999999901</c:v>
                </c:pt>
                <c:pt idx="506">
                  <c:v>2.52999999999999</c:v>
                </c:pt>
                <c:pt idx="507">
                  <c:v>2.5349999999999899</c:v>
                </c:pt>
                <c:pt idx="508">
                  <c:v>2.5399999999999898</c:v>
                </c:pt>
                <c:pt idx="509">
                  <c:v>2.5449999999999902</c:v>
                </c:pt>
                <c:pt idx="510">
                  <c:v>2.5499999999999901</c:v>
                </c:pt>
                <c:pt idx="511">
                  <c:v>2.5549999999999899</c:v>
                </c:pt>
                <c:pt idx="512">
                  <c:v>2.5599999999999898</c:v>
                </c:pt>
                <c:pt idx="513">
                  <c:v>2.5649999999999902</c:v>
                </c:pt>
                <c:pt idx="514">
                  <c:v>2.5699999999999901</c:v>
                </c:pt>
                <c:pt idx="515">
                  <c:v>2.57499999999999</c:v>
                </c:pt>
                <c:pt idx="516">
                  <c:v>2.5799999999999899</c:v>
                </c:pt>
              </c:numCache>
            </c:numRef>
          </c:xVal>
          <c:yVal>
            <c:numRef>
              <c:f>Feuil1!$E$3:$E$1600</c:f>
              <c:numCache>
                <c:formatCode>General</c:formatCode>
                <c:ptCount val="1598"/>
                <c:pt idx="0">
                  <c:v>0</c:v>
                </c:pt>
                <c:pt idx="1">
                  <c:v>-3.385758907911538E-5</c:v>
                </c:pt>
                <c:pt idx="2">
                  <c:v>-1.0868475242940102E-4</c:v>
                </c:pt>
                <c:pt idx="3">
                  <c:v>-1.9896535168898612E-4</c:v>
                </c:pt>
                <c:pt idx="4">
                  <c:v>-2.7846448403510689E-4</c:v>
                </c:pt>
                <c:pt idx="5">
                  <c:v>-3.550885585376393E-4</c:v>
                </c:pt>
                <c:pt idx="6">
                  <c:v>-4.2668128181388808E-4</c:v>
                </c:pt>
                <c:pt idx="7">
                  <c:v>-4.7239848449781753E-4</c:v>
                </c:pt>
                <c:pt idx="8">
                  <c:v>-4.8073993521506207E-4</c:v>
                </c:pt>
                <c:pt idx="9">
                  <c:v>-4.606901897268475E-4</c:v>
                </c:pt>
                <c:pt idx="10">
                  <c:v>-4.2123380379439543E-4</c:v>
                </c:pt>
                <c:pt idx="11">
                  <c:v>-3.641676885699486E-4</c:v>
                </c:pt>
                <c:pt idx="12">
                  <c:v>-2.9416381304934211E-4</c:v>
                </c:pt>
                <c:pt idx="13">
                  <c:v>-2.1553476399796247E-4</c:v>
                </c:pt>
                <c:pt idx="14">
                  <c:v>-1.4373397732511325E-4</c:v>
                </c:pt>
                <c:pt idx="15">
                  <c:v>-9.2417977787847142E-5</c:v>
                </c:pt>
                <c:pt idx="16">
                  <c:v>-5.2961591855391008E-5</c:v>
                </c:pt>
                <c:pt idx="17">
                  <c:v>-2.4286672836403313E-5</c:v>
                </c:pt>
                <c:pt idx="18">
                  <c:v>-4.5963095786372764E-6</c:v>
                </c:pt>
                <c:pt idx="19">
                  <c:v>1.0781466916234645E-6</c:v>
                </c:pt>
                <c:pt idx="20">
                  <c:v>-1.6607242017291291E-5</c:v>
                </c:pt>
                <c:pt idx="21">
                  <c:v>-5.2621124479097904E-5</c:v>
                </c:pt>
                <c:pt idx="22">
                  <c:v>-1.1918249652905896E-4</c:v>
                </c:pt>
                <c:pt idx="23">
                  <c:v>-2.0766618463640137E-4</c:v>
                </c:pt>
                <c:pt idx="24">
                  <c:v>-3.0297813512227418E-4</c:v>
                </c:pt>
                <c:pt idx="25">
                  <c:v>-4.083527880607143E-4</c:v>
                </c:pt>
                <c:pt idx="26">
                  <c:v>-5.1624311661229415E-4</c:v>
                </c:pt>
                <c:pt idx="27">
                  <c:v>-6.1730518278534357E-4</c:v>
                </c:pt>
                <c:pt idx="28">
                  <c:v>-7.1585157334525321E-4</c:v>
                </c:pt>
                <c:pt idx="29">
                  <c:v>-8.0577279037439382E-4</c:v>
                </c:pt>
                <c:pt idx="30">
                  <c:v>-8.7125601573300924E-4</c:v>
                </c:pt>
                <c:pt idx="31">
                  <c:v>-9.2236395187366674E-4</c:v>
                </c:pt>
                <c:pt idx="32">
                  <c:v>-9.648467144835511E-4</c:v>
                </c:pt>
                <c:pt idx="33">
                  <c:v>-9.7426631189214124E-4</c:v>
                </c:pt>
                <c:pt idx="34">
                  <c:v>-9.3516930819013771E-4</c:v>
                </c:pt>
                <c:pt idx="35">
                  <c:v>-8.3353979639003107E-4</c:v>
                </c:pt>
                <c:pt idx="36">
                  <c:v>-6.6829962980047167E-4</c:v>
                </c:pt>
                <c:pt idx="37">
                  <c:v>-4.6927753354872098E-4</c:v>
                </c:pt>
                <c:pt idx="38">
                  <c:v>-2.5983335261395448E-4</c:v>
                </c:pt>
                <c:pt idx="39">
                  <c:v>-6.6201989818935988E-5</c:v>
                </c:pt>
                <c:pt idx="40">
                  <c:v>1.2635122628473688E-4</c:v>
                </c:pt>
                <c:pt idx="41">
                  <c:v>3.2285764692334775E-4</c:v>
                </c:pt>
                <c:pt idx="42">
                  <c:v>4.8701966682155738E-4</c:v>
                </c:pt>
                <c:pt idx="43">
                  <c:v>6.4004083757585007E-4</c:v>
                </c:pt>
                <c:pt idx="44">
                  <c:v>7.8479621702982221E-4</c:v>
                </c:pt>
                <c:pt idx="45">
                  <c:v>8.9684781351294872E-4</c:v>
                </c:pt>
                <c:pt idx="46">
                  <c:v>9.5571083988964234E-4</c:v>
                </c:pt>
                <c:pt idx="47">
                  <c:v>9.2580645534546494E-4</c:v>
                </c:pt>
                <c:pt idx="48">
                  <c:v>8.366040027772254E-4</c:v>
                </c:pt>
                <c:pt idx="49">
                  <c:v>7.4380772790450054E-4</c:v>
                </c:pt>
                <c:pt idx="50">
                  <c:v>6.6754303563242078E-4</c:v>
                </c:pt>
                <c:pt idx="51">
                  <c:v>6.3081038870971295E-4</c:v>
                </c:pt>
                <c:pt idx="52">
                  <c:v>6.4187557843670584E-4</c:v>
                </c:pt>
                <c:pt idx="53">
                  <c:v>6.7917567098646665E-4</c:v>
                </c:pt>
                <c:pt idx="54">
                  <c:v>6.9563159417019172E-4</c:v>
                </c:pt>
                <c:pt idx="55">
                  <c:v>6.3697663119010261E-4</c:v>
                </c:pt>
                <c:pt idx="56">
                  <c:v>4.8021031929747232E-4</c:v>
                </c:pt>
                <c:pt idx="57">
                  <c:v>1.5597188801567144E-4</c:v>
                </c:pt>
                <c:pt idx="58">
                  <c:v>-3.350198981944029E-4</c:v>
                </c:pt>
                <c:pt idx="59">
                  <c:v>-1.0394847292911017E-3</c:v>
                </c:pt>
                <c:pt idx="60">
                  <c:v>-2.0699092434049199E-3</c:v>
                </c:pt>
                <c:pt idx="61">
                  <c:v>-3.3907145997214235E-3</c:v>
                </c:pt>
                <c:pt idx="62">
                  <c:v>-5.0306513766765204E-3</c:v>
                </c:pt>
                <c:pt idx="63">
                  <c:v>-6.9782193428958453E-3</c:v>
                </c:pt>
                <c:pt idx="64">
                  <c:v>-9.1719641369726445E-3</c:v>
                </c:pt>
                <c:pt idx="65">
                  <c:v>-1.1665793093474248E-2</c:v>
                </c:pt>
                <c:pt idx="66">
                  <c:v>-1.4406158260063775E-2</c:v>
                </c:pt>
                <c:pt idx="67">
                  <c:v>-1.7291354465524197E-2</c:v>
                </c:pt>
                <c:pt idx="68">
                  <c:v>-2.0323538003238207E-2</c:v>
                </c:pt>
                <c:pt idx="69">
                  <c:v>-2.3407472582136851E-2</c:v>
                </c:pt>
                <c:pt idx="70">
                  <c:v>-2.6640191404441325E-2</c:v>
                </c:pt>
                <c:pt idx="71">
                  <c:v>-3.0284402880609754E-2</c:v>
                </c:pt>
                <c:pt idx="72">
                  <c:v>-3.4494641369735145E-2</c:v>
                </c:pt>
                <c:pt idx="73">
                  <c:v>-3.9429753817675897E-2</c:v>
                </c:pt>
                <c:pt idx="74">
                  <c:v>-4.5216602151780465E-2</c:v>
                </c:pt>
                <c:pt idx="75">
                  <c:v>-5.1958688454418117E-2</c:v>
                </c:pt>
                <c:pt idx="76">
                  <c:v>-5.9528432033779513E-2</c:v>
                </c:pt>
                <c:pt idx="77">
                  <c:v>-6.7965724317444465E-2</c:v>
                </c:pt>
                <c:pt idx="78">
                  <c:v>-7.7510992017583269E-2</c:v>
                </c:pt>
                <c:pt idx="79">
                  <c:v>-8.800538818833753E-2</c:v>
                </c:pt>
                <c:pt idx="80">
                  <c:v>-9.9447115918555012E-2</c:v>
                </c:pt>
                <c:pt idx="81">
                  <c:v>-0.11204174184405245</c:v>
                </c:pt>
                <c:pt idx="82">
                  <c:v>-0.12579501608051705</c:v>
                </c:pt>
                <c:pt idx="83">
                  <c:v>-0.14044638651087335</c:v>
                </c:pt>
                <c:pt idx="84">
                  <c:v>-0.15591786719111397</c:v>
                </c:pt>
                <c:pt idx="85">
                  <c:v>-0.17229930367885113</c:v>
                </c:pt>
                <c:pt idx="86">
                  <c:v>-0.18934883173299272</c:v>
                </c:pt>
                <c:pt idx="87">
                  <c:v>-0.20703087251272431</c:v>
                </c:pt>
                <c:pt idx="88">
                  <c:v>-0.22540580223276133</c:v>
                </c:pt>
                <c:pt idx="89">
                  <c:v>-0.24434532143683352</c:v>
                </c:pt>
                <c:pt idx="90">
                  <c:v>-0.26369777082369145</c:v>
                </c:pt>
                <c:pt idx="91">
                  <c:v>-0.28331760059000333</c:v>
                </c:pt>
                <c:pt idx="92">
                  <c:v>-0.30317857583294638</c:v>
                </c:pt>
                <c:pt idx="93">
                  <c:v>-0.32324978968070206</c:v>
                </c:pt>
                <c:pt idx="94">
                  <c:v>-0.34353303904442256</c:v>
                </c:pt>
                <c:pt idx="95">
                  <c:v>-0.36401179234150721</c:v>
                </c:pt>
                <c:pt idx="96">
                  <c:v>-0.38425119707311295</c:v>
                </c:pt>
                <c:pt idx="97">
                  <c:v>-0.40412223501850858</c:v>
                </c:pt>
                <c:pt idx="98">
                  <c:v>-0.42388366138361733</c:v>
                </c:pt>
                <c:pt idx="99">
                  <c:v>-0.44400446997917492</c:v>
                </c:pt>
                <c:pt idx="100">
                  <c:v>-0.46449903609439935</c:v>
                </c:pt>
                <c:pt idx="101">
                  <c:v>-0.48505182213095649</c:v>
                </c:pt>
                <c:pt idx="102">
                  <c:v>-0.50588995765848999</c:v>
                </c:pt>
                <c:pt idx="103">
                  <c:v>-0.5271798366496977</c:v>
                </c:pt>
                <c:pt idx="104">
                  <c:v>-0.54900555454650468</c:v>
                </c:pt>
                <c:pt idx="105">
                  <c:v>-0.57135884555761063</c:v>
                </c:pt>
                <c:pt idx="106">
                  <c:v>-0.59413477007172444</c:v>
                </c:pt>
                <c:pt idx="107">
                  <c:v>-0.61716873102730052</c:v>
                </c:pt>
                <c:pt idx="108">
                  <c:v>-0.64031410047431581</c:v>
                </c:pt>
                <c:pt idx="109">
                  <c:v>-0.66372685030078504</c:v>
                </c:pt>
                <c:pt idx="110">
                  <c:v>-0.6873951208931034</c:v>
                </c:pt>
                <c:pt idx="111">
                  <c:v>-0.71123733248495902</c:v>
                </c:pt>
                <c:pt idx="112">
                  <c:v>-0.73532356461128945</c:v>
                </c:pt>
                <c:pt idx="113">
                  <c:v>-0.75977708537713862</c:v>
                </c:pt>
                <c:pt idx="114">
                  <c:v>-0.7845184713095773</c:v>
                </c:pt>
                <c:pt idx="115">
                  <c:v>-0.80935365600416309</c:v>
                </c:pt>
                <c:pt idx="116">
                  <c:v>-0.83430132733687945</c:v>
                </c:pt>
                <c:pt idx="117">
                  <c:v>-0.859286015039332</c:v>
                </c:pt>
                <c:pt idx="118">
                  <c:v>-0.88407232375057676</c:v>
                </c:pt>
                <c:pt idx="119">
                  <c:v>-0.90853986042341339</c:v>
                </c:pt>
                <c:pt idx="120">
                  <c:v>-0.93264873363026202</c:v>
                </c:pt>
                <c:pt idx="121">
                  <c:v>-0.95634359850763362</c:v>
                </c:pt>
                <c:pt idx="122">
                  <c:v>-0.97982858416242302</c:v>
                </c:pt>
                <c:pt idx="123">
                  <c:v>-1.0032808660342416</c:v>
                </c:pt>
                <c:pt idx="124">
                  <c:v>-1.0267176944701508</c:v>
                </c:pt>
                <c:pt idx="125">
                  <c:v>-1.0500043011337326</c:v>
                </c:pt>
                <c:pt idx="126">
                  <c:v>-1.0730264024757039</c:v>
                </c:pt>
                <c:pt idx="127">
                  <c:v>-1.0955126649120759</c:v>
                </c:pt>
                <c:pt idx="128">
                  <c:v>-1.1173067571726034</c:v>
                </c:pt>
                <c:pt idx="129">
                  <c:v>-1.1383511781004145</c:v>
                </c:pt>
                <c:pt idx="130">
                  <c:v>-1.1586405369620527</c:v>
                </c:pt>
                <c:pt idx="131">
                  <c:v>-1.1779631576237835</c:v>
                </c:pt>
                <c:pt idx="132">
                  <c:v>-1.1957181529962961</c:v>
                </c:pt>
                <c:pt idx="133">
                  <c:v>-1.2117783017700119</c:v>
                </c:pt>
                <c:pt idx="134">
                  <c:v>-1.2258535824849586</c:v>
                </c:pt>
                <c:pt idx="135">
                  <c:v>-1.2373032166242459</c:v>
                </c:pt>
                <c:pt idx="136">
                  <c:v>-1.2460007016427559</c:v>
                </c:pt>
                <c:pt idx="137">
                  <c:v>-1.2515686861985171</c:v>
                </c:pt>
                <c:pt idx="138">
                  <c:v>-1.2534282055182764</c:v>
                </c:pt>
                <c:pt idx="139">
                  <c:v>-1.2517639820684847</c:v>
                </c:pt>
                <c:pt idx="140">
                  <c:v>-1.2471226362216545</c:v>
                </c:pt>
                <c:pt idx="141">
                  <c:v>-1.2398337214831074</c:v>
                </c:pt>
                <c:pt idx="142">
                  <c:v>-1.2300783664969899</c:v>
                </c:pt>
                <c:pt idx="143">
                  <c:v>-1.2185652730217469</c:v>
                </c:pt>
                <c:pt idx="144">
                  <c:v>-1.2056110568024039</c:v>
                </c:pt>
                <c:pt idx="145">
                  <c:v>-1.1909727754511776</c:v>
                </c:pt>
                <c:pt idx="146">
                  <c:v>-1.1743683139171657</c:v>
                </c:pt>
                <c:pt idx="147">
                  <c:v>-1.1554523058769066</c:v>
                </c:pt>
                <c:pt idx="148">
                  <c:v>-1.1339336517237368</c:v>
                </c:pt>
                <c:pt idx="149">
                  <c:v>-1.1095956439726957</c:v>
                </c:pt>
                <c:pt idx="150">
                  <c:v>-1.082670443544653</c:v>
                </c:pt>
                <c:pt idx="151">
                  <c:v>-1.0530254383965734</c:v>
                </c:pt>
                <c:pt idx="152">
                  <c:v>-1.0201981035978691</c:v>
                </c:pt>
                <c:pt idx="153">
                  <c:v>-0.98403462355390792</c:v>
                </c:pt>
                <c:pt idx="154">
                  <c:v>-0.94483472304488425</c:v>
                </c:pt>
                <c:pt idx="155">
                  <c:v>-0.90228825520592082</c:v>
                </c:pt>
                <c:pt idx="156">
                  <c:v>-0.8554565136510851</c:v>
                </c:pt>
                <c:pt idx="157">
                  <c:v>-0.80379323739009478</c:v>
                </c:pt>
                <c:pt idx="158">
                  <c:v>-0.74707489067561073</c:v>
                </c:pt>
                <c:pt idx="159">
                  <c:v>-0.68565115241785968</c:v>
                </c:pt>
                <c:pt idx="160">
                  <c:v>-0.62015022275566623</c:v>
                </c:pt>
                <c:pt idx="161">
                  <c:v>-0.55187414350994657</c:v>
                </c:pt>
                <c:pt idx="162">
                  <c:v>-0.4815495855506684</c:v>
                </c:pt>
                <c:pt idx="163">
                  <c:v>-0.40921104957195481</c:v>
                </c:pt>
                <c:pt idx="164">
                  <c:v>-0.33529626313049249</c:v>
                </c:pt>
                <c:pt idx="165">
                  <c:v>-0.26031159578898388</c:v>
                </c:pt>
                <c:pt idx="166">
                  <c:v>-0.1848715911614966</c:v>
                </c:pt>
                <c:pt idx="167">
                  <c:v>-0.10926087997454607</c:v>
                </c:pt>
                <c:pt idx="168">
                  <c:v>-3.3009749652935683E-2</c:v>
                </c:pt>
                <c:pt idx="169">
                  <c:v>4.3763922431747357E-2</c:v>
                </c:pt>
                <c:pt idx="170">
                  <c:v>0.12039312285978997</c:v>
                </c:pt>
                <c:pt idx="171">
                  <c:v>0.19653643851226571</c:v>
                </c:pt>
                <c:pt idx="172">
                  <c:v>0.27209252360018799</c:v>
                </c:pt>
                <c:pt idx="173">
                  <c:v>0.34720081842897099</c:v>
                </c:pt>
                <c:pt idx="174">
                  <c:v>0.42176321164970215</c:v>
                </c:pt>
                <c:pt idx="175">
                  <c:v>0.49573657739472765</c:v>
                </c:pt>
                <c:pt idx="176">
                  <c:v>0.56896674068718489</c:v>
                </c:pt>
                <c:pt idx="177">
                  <c:v>0.64118093041416313</c:v>
                </c:pt>
                <c:pt idx="178">
                  <c:v>0.71211607878297389</c:v>
                </c:pt>
                <c:pt idx="179">
                  <c:v>0.78163022981258989</c:v>
                </c:pt>
                <c:pt idx="180">
                  <c:v>0.84965510087922569</c:v>
                </c:pt>
                <c:pt idx="181">
                  <c:v>0.91638332085840202</c:v>
                </c:pt>
                <c:pt idx="182">
                  <c:v>0.98182782751041497</c:v>
                </c:pt>
                <c:pt idx="183">
                  <c:v>1.0457561005321643</c:v>
                </c:pt>
                <c:pt idx="184">
                  <c:v>1.1081656242480367</c:v>
                </c:pt>
                <c:pt idx="185">
                  <c:v>1.1693338417399386</c:v>
                </c:pt>
                <c:pt idx="186">
                  <c:v>1.2292614717723311</c:v>
                </c:pt>
                <c:pt idx="187">
                  <c:v>1.2876929935793648</c:v>
                </c:pt>
                <c:pt idx="188">
                  <c:v>1.3447344249190225</c:v>
                </c:pt>
                <c:pt idx="189">
                  <c:v>1.4006725528112021</c:v>
                </c:pt>
                <c:pt idx="190">
                  <c:v>1.4556615522327663</c:v>
                </c:pt>
                <c:pt idx="191">
                  <c:v>1.5097697058075001</c:v>
                </c:pt>
                <c:pt idx="192">
                  <c:v>1.5632011426422989</c:v>
                </c:pt>
                <c:pt idx="193">
                  <c:v>1.6160999750115725</c:v>
                </c:pt>
                <c:pt idx="194">
                  <c:v>1.6685650330286943</c:v>
                </c:pt>
                <c:pt idx="195">
                  <c:v>1.7207425852614568</c:v>
                </c:pt>
                <c:pt idx="196">
                  <c:v>1.7728417921679815</c:v>
                </c:pt>
                <c:pt idx="197">
                  <c:v>1.8249395615455846</c:v>
                </c:pt>
                <c:pt idx="198">
                  <c:v>1.8770588938570145</c:v>
                </c:pt>
                <c:pt idx="199">
                  <c:v>1.9293392294076854</c:v>
                </c:pt>
                <c:pt idx="200">
                  <c:v>1.9817866776955151</c:v>
                </c:pt>
                <c:pt idx="201">
                  <c:v>2.0343113931628913</c:v>
                </c:pt>
                <c:pt idx="202">
                  <c:v>2.0867814825312392</c:v>
                </c:pt>
                <c:pt idx="203">
                  <c:v>2.1390693651087496</c:v>
                </c:pt>
                <c:pt idx="204">
                  <c:v>2.1910043343359593</c:v>
                </c:pt>
                <c:pt idx="205">
                  <c:v>2.2422503678273986</c:v>
                </c:pt>
                <c:pt idx="206">
                  <c:v>2.2923650660573847</c:v>
                </c:pt>
                <c:pt idx="207">
                  <c:v>2.3411209400740436</c:v>
                </c:pt>
                <c:pt idx="208">
                  <c:v>2.3880051514345251</c:v>
                </c:pt>
                <c:pt idx="209">
                  <c:v>2.4321152913581714</c:v>
                </c:pt>
                <c:pt idx="210">
                  <c:v>2.4726679065826045</c:v>
                </c:pt>
                <c:pt idx="211">
                  <c:v>2.5086822430009295</c:v>
                </c:pt>
                <c:pt idx="212">
                  <c:v>2.5389964178621049</c:v>
                </c:pt>
                <c:pt idx="213">
                  <c:v>2.5623022798472972</c:v>
                </c:pt>
                <c:pt idx="214">
                  <c:v>2.5789315387552101</c:v>
                </c:pt>
                <c:pt idx="215">
                  <c:v>2.5871990513072691</c:v>
                </c:pt>
                <c:pt idx="216">
                  <c:v>2.5837370466219385</c:v>
                </c:pt>
                <c:pt idx="217">
                  <c:v>2.568457116670527</c:v>
                </c:pt>
                <c:pt idx="218">
                  <c:v>2.5408431885701104</c:v>
                </c:pt>
                <c:pt idx="219">
                  <c:v>2.5018932667746454</c:v>
                </c:pt>
                <c:pt idx="220">
                  <c:v>2.4555835562818182</c:v>
                </c:pt>
                <c:pt idx="221">
                  <c:v>2.4065335562818184</c:v>
                </c:pt>
                <c:pt idx="222">
                  <c:v>2.3574835562818186</c:v>
                </c:pt>
                <c:pt idx="223">
                  <c:v>2.3084335562818188</c:v>
                </c:pt>
                <c:pt idx="224">
                  <c:v>2.259383556281819</c:v>
                </c:pt>
                <c:pt idx="225">
                  <c:v>2.2103335562818192</c:v>
                </c:pt>
                <c:pt idx="226">
                  <c:v>2.1612835562818193</c:v>
                </c:pt>
                <c:pt idx="227">
                  <c:v>2.1122335562818195</c:v>
                </c:pt>
                <c:pt idx="228">
                  <c:v>2.0631835562818197</c:v>
                </c:pt>
                <c:pt idx="229">
                  <c:v>2.0141335562818199</c:v>
                </c:pt>
                <c:pt idx="230">
                  <c:v>1.9650835562818199</c:v>
                </c:pt>
                <c:pt idx="231">
                  <c:v>1.9160335562818198</c:v>
                </c:pt>
                <c:pt idx="232">
                  <c:v>1.8669835562818198</c:v>
                </c:pt>
                <c:pt idx="233">
                  <c:v>1.8179335562818197</c:v>
                </c:pt>
                <c:pt idx="234">
                  <c:v>1.7688835562818197</c:v>
                </c:pt>
                <c:pt idx="235">
                  <c:v>1.7198335562818197</c:v>
                </c:pt>
                <c:pt idx="236">
                  <c:v>1.6707835562818196</c:v>
                </c:pt>
                <c:pt idx="237">
                  <c:v>1.6217335562818196</c:v>
                </c:pt>
                <c:pt idx="238">
                  <c:v>1.5726835562818196</c:v>
                </c:pt>
                <c:pt idx="239">
                  <c:v>1.5236335562818195</c:v>
                </c:pt>
                <c:pt idx="240">
                  <c:v>1.4745835562818195</c:v>
                </c:pt>
                <c:pt idx="241">
                  <c:v>1.4255335562818194</c:v>
                </c:pt>
                <c:pt idx="242">
                  <c:v>1.3764835562818194</c:v>
                </c:pt>
                <c:pt idx="243">
                  <c:v>1.3274335562818194</c:v>
                </c:pt>
                <c:pt idx="244">
                  <c:v>1.2783835562818193</c:v>
                </c:pt>
                <c:pt idx="245">
                  <c:v>1.2293335562818193</c:v>
                </c:pt>
                <c:pt idx="246">
                  <c:v>1.1802835562818192</c:v>
                </c:pt>
                <c:pt idx="247">
                  <c:v>1.1312335562818192</c:v>
                </c:pt>
                <c:pt idx="248">
                  <c:v>1.0821835562818192</c:v>
                </c:pt>
                <c:pt idx="249">
                  <c:v>1.0331335562818191</c:v>
                </c:pt>
                <c:pt idx="250">
                  <c:v>0.98408355628181909</c:v>
                </c:pt>
                <c:pt idx="251">
                  <c:v>0.93503355628181906</c:v>
                </c:pt>
                <c:pt idx="252">
                  <c:v>0.88598355628181902</c:v>
                </c:pt>
                <c:pt idx="253">
                  <c:v>0.83693355628181898</c:v>
                </c:pt>
                <c:pt idx="254">
                  <c:v>0.78788355628181894</c:v>
                </c:pt>
                <c:pt idx="255">
                  <c:v>0.7388335562818189</c:v>
                </c:pt>
                <c:pt idx="256">
                  <c:v>0.68978355628181887</c:v>
                </c:pt>
                <c:pt idx="257">
                  <c:v>0.64073355628181883</c:v>
                </c:pt>
                <c:pt idx="258">
                  <c:v>0.59168355628181879</c:v>
                </c:pt>
                <c:pt idx="259">
                  <c:v>0.54263355628181875</c:v>
                </c:pt>
                <c:pt idx="260">
                  <c:v>0.49358355628181877</c:v>
                </c:pt>
                <c:pt idx="261">
                  <c:v>0.44453355628181879</c:v>
                </c:pt>
                <c:pt idx="262">
                  <c:v>0.3954835562818188</c:v>
                </c:pt>
                <c:pt idx="263">
                  <c:v>0.34643355628181882</c:v>
                </c:pt>
                <c:pt idx="264">
                  <c:v>0.29738355628181884</c:v>
                </c:pt>
                <c:pt idx="265">
                  <c:v>0.24833355628181886</c:v>
                </c:pt>
                <c:pt idx="266">
                  <c:v>0.19928355628181887</c:v>
                </c:pt>
                <c:pt idx="267">
                  <c:v>0.15023355628181889</c:v>
                </c:pt>
                <c:pt idx="268">
                  <c:v>0.1011835562818189</c:v>
                </c:pt>
                <c:pt idx="269">
                  <c:v>5.2133556281818899E-2</c:v>
                </c:pt>
                <c:pt idx="270">
                  <c:v>3.0835562818189027E-3</c:v>
                </c:pt>
                <c:pt idx="271">
                  <c:v>-4.5966443718181094E-2</c:v>
                </c:pt>
                <c:pt idx="272">
                  <c:v>-9.501644371818109E-2</c:v>
                </c:pt>
                <c:pt idx="273">
                  <c:v>-0.14406644371818109</c:v>
                </c:pt>
                <c:pt idx="274">
                  <c:v>-0.1931164437181811</c:v>
                </c:pt>
                <c:pt idx="275">
                  <c:v>-0.24216644371818108</c:v>
                </c:pt>
                <c:pt idx="276">
                  <c:v>-0.29121644371818106</c:v>
                </c:pt>
                <c:pt idx="277">
                  <c:v>-0.34026644371818104</c:v>
                </c:pt>
                <c:pt idx="278">
                  <c:v>-0.38931644371818103</c:v>
                </c:pt>
                <c:pt idx="279">
                  <c:v>-0.43836644371818101</c:v>
                </c:pt>
                <c:pt idx="280">
                  <c:v>-0.48741644371818099</c:v>
                </c:pt>
                <c:pt idx="281">
                  <c:v>-0.53646644371818097</c:v>
                </c:pt>
                <c:pt idx="282">
                  <c:v>-0.58551644371818101</c:v>
                </c:pt>
                <c:pt idx="283">
                  <c:v>-0.63456644371818105</c:v>
                </c:pt>
                <c:pt idx="284">
                  <c:v>-0.68361644371818109</c:v>
                </c:pt>
                <c:pt idx="285">
                  <c:v>-0.73266644371818113</c:v>
                </c:pt>
                <c:pt idx="286">
                  <c:v>-0.78171644371818116</c:v>
                </c:pt>
                <c:pt idx="287">
                  <c:v>-0.8307664437181812</c:v>
                </c:pt>
                <c:pt idx="288">
                  <c:v>-0.87981644371818124</c:v>
                </c:pt>
                <c:pt idx="289">
                  <c:v>-0.92886644371818128</c:v>
                </c:pt>
                <c:pt idx="290">
                  <c:v>-0.97791644371818132</c:v>
                </c:pt>
                <c:pt idx="291">
                  <c:v>-1.0269664437181814</c:v>
                </c:pt>
                <c:pt idx="292">
                  <c:v>-1.0760164437181814</c:v>
                </c:pt>
                <c:pt idx="293">
                  <c:v>-1.1250664437181814</c:v>
                </c:pt>
                <c:pt idx="294">
                  <c:v>-1.1741164437181815</c:v>
                </c:pt>
                <c:pt idx="295">
                  <c:v>-1.2231664437181815</c:v>
                </c:pt>
                <c:pt idx="296">
                  <c:v>-1.2722164437181815</c:v>
                </c:pt>
                <c:pt idx="297">
                  <c:v>-1.3212664437181816</c:v>
                </c:pt>
                <c:pt idx="298">
                  <c:v>-1.3703164437181816</c:v>
                </c:pt>
                <c:pt idx="299">
                  <c:v>-1.4193664437181817</c:v>
                </c:pt>
                <c:pt idx="300">
                  <c:v>-1.4684164437181817</c:v>
                </c:pt>
                <c:pt idx="301">
                  <c:v>-1.5174664437181817</c:v>
                </c:pt>
                <c:pt idx="302">
                  <c:v>-1.5665164437181818</c:v>
                </c:pt>
                <c:pt idx="303">
                  <c:v>-1.6155664437181818</c:v>
                </c:pt>
                <c:pt idx="304">
                  <c:v>-1.6646164437181818</c:v>
                </c:pt>
                <c:pt idx="305">
                  <c:v>-1.7136664437181819</c:v>
                </c:pt>
                <c:pt idx="306">
                  <c:v>-1.7627164437181819</c:v>
                </c:pt>
                <c:pt idx="307">
                  <c:v>-1.811766443718182</c:v>
                </c:pt>
                <c:pt idx="308">
                  <c:v>-1.860816443718182</c:v>
                </c:pt>
                <c:pt idx="309">
                  <c:v>-1.909866443718182</c:v>
                </c:pt>
                <c:pt idx="310">
                  <c:v>-1.9589164437181821</c:v>
                </c:pt>
                <c:pt idx="311">
                  <c:v>-2.0079664437181819</c:v>
                </c:pt>
                <c:pt idx="312">
                  <c:v>-2.0570164437181817</c:v>
                </c:pt>
                <c:pt idx="313">
                  <c:v>-2.1060664437181815</c:v>
                </c:pt>
                <c:pt idx="314">
                  <c:v>-2.1551164437181813</c:v>
                </c:pt>
                <c:pt idx="315">
                  <c:v>-2.2041664437181812</c:v>
                </c:pt>
                <c:pt idx="316">
                  <c:v>-2.253216443718181</c:v>
                </c:pt>
                <c:pt idx="317">
                  <c:v>-2.3022664437181808</c:v>
                </c:pt>
                <c:pt idx="318">
                  <c:v>-2.3513164437181806</c:v>
                </c:pt>
                <c:pt idx="319">
                  <c:v>-2.4003664437181804</c:v>
                </c:pt>
                <c:pt idx="320">
                  <c:v>-2.4494164437181802</c:v>
                </c:pt>
                <c:pt idx="321">
                  <c:v>-2.4984664437181801</c:v>
                </c:pt>
                <c:pt idx="322">
                  <c:v>-2.5475164437181799</c:v>
                </c:pt>
                <c:pt idx="323">
                  <c:v>-2.5965664437181797</c:v>
                </c:pt>
                <c:pt idx="324">
                  <c:v>-2.6456164437181795</c:v>
                </c:pt>
                <c:pt idx="325">
                  <c:v>-2.6946664437181793</c:v>
                </c:pt>
                <c:pt idx="326">
                  <c:v>-2.7437164437181791</c:v>
                </c:pt>
                <c:pt idx="327">
                  <c:v>-2.7927664437181789</c:v>
                </c:pt>
                <c:pt idx="328">
                  <c:v>-2.8418164437181788</c:v>
                </c:pt>
                <c:pt idx="329">
                  <c:v>-2.8908664437181786</c:v>
                </c:pt>
                <c:pt idx="330">
                  <c:v>-2.9399164437181784</c:v>
                </c:pt>
                <c:pt idx="331">
                  <c:v>-2.9889664437181782</c:v>
                </c:pt>
                <c:pt idx="332">
                  <c:v>-3.038016443718178</c:v>
                </c:pt>
                <c:pt idx="333">
                  <c:v>-3.0870664437181778</c:v>
                </c:pt>
                <c:pt idx="334">
                  <c:v>-3.1361164437181777</c:v>
                </c:pt>
                <c:pt idx="335">
                  <c:v>-3.1851664437181775</c:v>
                </c:pt>
                <c:pt idx="336">
                  <c:v>-3.2342164437181773</c:v>
                </c:pt>
                <c:pt idx="337">
                  <c:v>-3.2832664437181771</c:v>
                </c:pt>
                <c:pt idx="338">
                  <c:v>-3.3323164437181769</c:v>
                </c:pt>
                <c:pt idx="339">
                  <c:v>-3.3813664437181767</c:v>
                </c:pt>
                <c:pt idx="340">
                  <c:v>-3.4304164437181766</c:v>
                </c:pt>
                <c:pt idx="341">
                  <c:v>-3.4794664437181764</c:v>
                </c:pt>
                <c:pt idx="342">
                  <c:v>-3.5285164437181762</c:v>
                </c:pt>
                <c:pt idx="343">
                  <c:v>-3.577566443718176</c:v>
                </c:pt>
                <c:pt idx="344">
                  <c:v>-3.6266164437181758</c:v>
                </c:pt>
                <c:pt idx="345">
                  <c:v>-3.6756664437181756</c:v>
                </c:pt>
                <c:pt idx="346">
                  <c:v>-3.7247164437181755</c:v>
                </c:pt>
                <c:pt idx="347">
                  <c:v>-3.7737664437181753</c:v>
                </c:pt>
                <c:pt idx="348">
                  <c:v>-3.8228164437181751</c:v>
                </c:pt>
                <c:pt idx="349">
                  <c:v>-3.8718664437181749</c:v>
                </c:pt>
                <c:pt idx="350">
                  <c:v>-3.9209164437181747</c:v>
                </c:pt>
                <c:pt idx="351">
                  <c:v>-3.9699664437181745</c:v>
                </c:pt>
                <c:pt idx="352">
                  <c:v>-4.0190164437181748</c:v>
                </c:pt>
                <c:pt idx="353">
                  <c:v>-4.0680664437181751</c:v>
                </c:pt>
                <c:pt idx="354">
                  <c:v>-4.1171164437181753</c:v>
                </c:pt>
                <c:pt idx="355">
                  <c:v>-4.1661664437181756</c:v>
                </c:pt>
                <c:pt idx="356">
                  <c:v>-4.2152164437181758</c:v>
                </c:pt>
                <c:pt idx="357">
                  <c:v>-4.2642664437181761</c:v>
                </c:pt>
                <c:pt idx="358">
                  <c:v>-4.3133164437181764</c:v>
                </c:pt>
                <c:pt idx="359">
                  <c:v>-4.3623664437181766</c:v>
                </c:pt>
                <c:pt idx="360">
                  <c:v>-4.4114164437181769</c:v>
                </c:pt>
                <c:pt idx="361">
                  <c:v>-4.4604664437181771</c:v>
                </c:pt>
                <c:pt idx="362">
                  <c:v>-4.5095164437181774</c:v>
                </c:pt>
                <c:pt idx="363">
                  <c:v>-4.5585664437181777</c:v>
                </c:pt>
                <c:pt idx="364">
                  <c:v>-4.6076164437181779</c:v>
                </c:pt>
                <c:pt idx="365">
                  <c:v>-4.6566664437181782</c:v>
                </c:pt>
                <c:pt idx="366">
                  <c:v>-4.7057164437181784</c:v>
                </c:pt>
                <c:pt idx="367">
                  <c:v>-4.7547664437181787</c:v>
                </c:pt>
                <c:pt idx="368">
                  <c:v>-4.803816443718179</c:v>
                </c:pt>
                <c:pt idx="369">
                  <c:v>-4.8528664437181792</c:v>
                </c:pt>
                <c:pt idx="370">
                  <c:v>-4.9019164437181795</c:v>
                </c:pt>
                <c:pt idx="371">
                  <c:v>-4.9509664437181797</c:v>
                </c:pt>
                <c:pt idx="372">
                  <c:v>-5.00001644371818</c:v>
                </c:pt>
                <c:pt idx="373">
                  <c:v>-5.0490664437181803</c:v>
                </c:pt>
                <c:pt idx="374">
                  <c:v>-5.0981164437181805</c:v>
                </c:pt>
                <c:pt idx="375">
                  <c:v>-5.1471664437181808</c:v>
                </c:pt>
                <c:pt idx="376">
                  <c:v>-5.196216443718181</c:v>
                </c:pt>
                <c:pt idx="377">
                  <c:v>-5.2452664437181813</c:v>
                </c:pt>
                <c:pt idx="378">
                  <c:v>-5.2943164437181816</c:v>
                </c:pt>
                <c:pt idx="379">
                  <c:v>-5.3433664437181818</c:v>
                </c:pt>
                <c:pt idx="380">
                  <c:v>-5.3924164437181821</c:v>
                </c:pt>
                <c:pt idx="381">
                  <c:v>-5.4414664437181823</c:v>
                </c:pt>
                <c:pt idx="382">
                  <c:v>-5.4905164437181826</c:v>
                </c:pt>
                <c:pt idx="383">
                  <c:v>-5.5395664437181829</c:v>
                </c:pt>
                <c:pt idx="384">
                  <c:v>-5.5886164437181831</c:v>
                </c:pt>
                <c:pt idx="385">
                  <c:v>-5.6376664437181834</c:v>
                </c:pt>
                <c:pt idx="386">
                  <c:v>-5.6867164437181836</c:v>
                </c:pt>
                <c:pt idx="387">
                  <c:v>-5.7357664437181839</c:v>
                </c:pt>
                <c:pt idx="388">
                  <c:v>-5.7848164437181842</c:v>
                </c:pt>
                <c:pt idx="389">
                  <c:v>-5.8338664437181844</c:v>
                </c:pt>
                <c:pt idx="390">
                  <c:v>-5.8829164437181847</c:v>
                </c:pt>
                <c:pt idx="391">
                  <c:v>-5.9319664437181849</c:v>
                </c:pt>
                <c:pt idx="392">
                  <c:v>-5.9810164437181852</c:v>
                </c:pt>
                <c:pt idx="393">
                  <c:v>-6.0300664437181855</c:v>
                </c:pt>
                <c:pt idx="394">
                  <c:v>-6.0791164437181857</c:v>
                </c:pt>
                <c:pt idx="395">
                  <c:v>-6.128166443718186</c:v>
                </c:pt>
                <c:pt idx="396">
                  <c:v>-6.1772164437181862</c:v>
                </c:pt>
                <c:pt idx="397">
                  <c:v>-6.2262664437181865</c:v>
                </c:pt>
                <c:pt idx="398">
                  <c:v>-6.2753164437181868</c:v>
                </c:pt>
                <c:pt idx="399">
                  <c:v>-6.324366443718187</c:v>
                </c:pt>
                <c:pt idx="400">
                  <c:v>-6.3734164437181873</c:v>
                </c:pt>
                <c:pt idx="401">
                  <c:v>-6.4224664437181875</c:v>
                </c:pt>
                <c:pt idx="402">
                  <c:v>-6.4715164437181878</c:v>
                </c:pt>
                <c:pt idx="403">
                  <c:v>-6.5205664437181881</c:v>
                </c:pt>
                <c:pt idx="404">
                  <c:v>-6.5696164437181883</c:v>
                </c:pt>
                <c:pt idx="405">
                  <c:v>-6.6186664437181886</c:v>
                </c:pt>
                <c:pt idx="406">
                  <c:v>-6.6677164437181888</c:v>
                </c:pt>
                <c:pt idx="407">
                  <c:v>-6.7167664437181891</c:v>
                </c:pt>
                <c:pt idx="408">
                  <c:v>-6.7658164437181894</c:v>
                </c:pt>
                <c:pt idx="409">
                  <c:v>-6.8148664437181896</c:v>
                </c:pt>
                <c:pt idx="410">
                  <c:v>-6.8639164437181899</c:v>
                </c:pt>
                <c:pt idx="411">
                  <c:v>-6.9129664437181901</c:v>
                </c:pt>
                <c:pt idx="412">
                  <c:v>-6.9620164437181904</c:v>
                </c:pt>
                <c:pt idx="413">
                  <c:v>-7.0110664437181907</c:v>
                </c:pt>
                <c:pt idx="414">
                  <c:v>-7.0601164437181909</c:v>
                </c:pt>
                <c:pt idx="415">
                  <c:v>-7.1091664437181912</c:v>
                </c:pt>
                <c:pt idx="416">
                  <c:v>-7.1582164437181914</c:v>
                </c:pt>
                <c:pt idx="417">
                  <c:v>-7.2072664437181917</c:v>
                </c:pt>
                <c:pt idx="418">
                  <c:v>-7.256316443718192</c:v>
                </c:pt>
                <c:pt idx="419">
                  <c:v>-7.3053664437181922</c:v>
                </c:pt>
                <c:pt idx="420">
                  <c:v>-7.3544164437181925</c:v>
                </c:pt>
                <c:pt idx="421">
                  <c:v>-7.4034664437181927</c:v>
                </c:pt>
                <c:pt idx="422">
                  <c:v>-7.452516443718193</c:v>
                </c:pt>
                <c:pt idx="423">
                  <c:v>-7.5015664437181933</c:v>
                </c:pt>
                <c:pt idx="424">
                  <c:v>-7.5506164437181935</c:v>
                </c:pt>
                <c:pt idx="425">
                  <c:v>-7.5996664437181938</c:v>
                </c:pt>
                <c:pt idx="426">
                  <c:v>-7.648716443718194</c:v>
                </c:pt>
                <c:pt idx="427">
                  <c:v>-7.6977664437181943</c:v>
                </c:pt>
                <c:pt idx="428">
                  <c:v>-7.7468164437181946</c:v>
                </c:pt>
                <c:pt idx="429">
                  <c:v>-7.7958664437181948</c:v>
                </c:pt>
                <c:pt idx="430">
                  <c:v>-7.8449164437181951</c:v>
                </c:pt>
                <c:pt idx="431">
                  <c:v>-7.8939664437181953</c:v>
                </c:pt>
                <c:pt idx="432">
                  <c:v>-7.9430164437181956</c:v>
                </c:pt>
                <c:pt idx="433">
                  <c:v>-7.9920664437181959</c:v>
                </c:pt>
                <c:pt idx="434">
                  <c:v>-8.0411164437181952</c:v>
                </c:pt>
                <c:pt idx="435">
                  <c:v>-8.0901664437181946</c:v>
                </c:pt>
                <c:pt idx="436">
                  <c:v>-8.139216443718194</c:v>
                </c:pt>
                <c:pt idx="437">
                  <c:v>-8.1882664437181933</c:v>
                </c:pt>
                <c:pt idx="438">
                  <c:v>-8.2373164437181927</c:v>
                </c:pt>
                <c:pt idx="439">
                  <c:v>-8.2863664437181921</c:v>
                </c:pt>
                <c:pt idx="440">
                  <c:v>-8.3354164437181915</c:v>
                </c:pt>
                <c:pt idx="441">
                  <c:v>-8.3844664437181908</c:v>
                </c:pt>
                <c:pt idx="442">
                  <c:v>-8.4335164437181902</c:v>
                </c:pt>
                <c:pt idx="443">
                  <c:v>-8.4825664437181896</c:v>
                </c:pt>
                <c:pt idx="444">
                  <c:v>-8.5316164437181889</c:v>
                </c:pt>
                <c:pt idx="445">
                  <c:v>-8.5806664437181883</c:v>
                </c:pt>
                <c:pt idx="446">
                  <c:v>-8.6297164437181877</c:v>
                </c:pt>
                <c:pt idx="447">
                  <c:v>-8.6787664437181871</c:v>
                </c:pt>
                <c:pt idx="448">
                  <c:v>-8.7278164437181864</c:v>
                </c:pt>
                <c:pt idx="449">
                  <c:v>-8.7768664437181858</c:v>
                </c:pt>
                <c:pt idx="450">
                  <c:v>-8.8259164437181852</c:v>
                </c:pt>
                <c:pt idx="451">
                  <c:v>-8.8749664437181845</c:v>
                </c:pt>
                <c:pt idx="452">
                  <c:v>-8.9240164437181839</c:v>
                </c:pt>
                <c:pt idx="453">
                  <c:v>-8.9730664437181833</c:v>
                </c:pt>
                <c:pt idx="454">
                  <c:v>-9.0221164437181827</c:v>
                </c:pt>
                <c:pt idx="455">
                  <c:v>-9.071166443718182</c:v>
                </c:pt>
                <c:pt idx="456">
                  <c:v>-9.1202164437181814</c:v>
                </c:pt>
                <c:pt idx="457">
                  <c:v>-9.1692664437181808</c:v>
                </c:pt>
                <c:pt idx="458">
                  <c:v>-9.2183164437181802</c:v>
                </c:pt>
                <c:pt idx="459">
                  <c:v>-9.2673664437181795</c:v>
                </c:pt>
                <c:pt idx="460">
                  <c:v>-9.3164164437181789</c:v>
                </c:pt>
                <c:pt idx="461">
                  <c:v>-9.3654664437181783</c:v>
                </c:pt>
                <c:pt idx="462">
                  <c:v>-9.4145164437181776</c:v>
                </c:pt>
                <c:pt idx="463">
                  <c:v>-9.463566443718177</c:v>
                </c:pt>
                <c:pt idx="464">
                  <c:v>-9.5126164437181764</c:v>
                </c:pt>
                <c:pt idx="465">
                  <c:v>-9.5616664437181758</c:v>
                </c:pt>
                <c:pt idx="466">
                  <c:v>-9.6107164437181751</c:v>
                </c:pt>
                <c:pt idx="467">
                  <c:v>-9.6597664437181745</c:v>
                </c:pt>
                <c:pt idx="468">
                  <c:v>-9.7088164437181739</c:v>
                </c:pt>
                <c:pt idx="469">
                  <c:v>-9.7578664437181732</c:v>
                </c:pt>
                <c:pt idx="470">
                  <c:v>-9.8069164437181726</c:v>
                </c:pt>
                <c:pt idx="471">
                  <c:v>-9.855966443718172</c:v>
                </c:pt>
                <c:pt idx="472">
                  <c:v>-9.9050164437181714</c:v>
                </c:pt>
                <c:pt idx="473">
                  <c:v>-9.9540664437181707</c:v>
                </c:pt>
                <c:pt idx="474">
                  <c:v>-10.00311644371817</c:v>
                </c:pt>
                <c:pt idx="475">
                  <c:v>-10.052166443718169</c:v>
                </c:pt>
                <c:pt idx="476">
                  <c:v>-10.101216443718169</c:v>
                </c:pt>
                <c:pt idx="477">
                  <c:v>-10.150266443718168</c:v>
                </c:pt>
                <c:pt idx="478">
                  <c:v>-10.199316443718168</c:v>
                </c:pt>
                <c:pt idx="479">
                  <c:v>-10.248366443718167</c:v>
                </c:pt>
                <c:pt idx="480">
                  <c:v>-10.297416443718166</c:v>
                </c:pt>
                <c:pt idx="481">
                  <c:v>-10.346466443718166</c:v>
                </c:pt>
                <c:pt idx="482">
                  <c:v>-10.395516443718165</c:v>
                </c:pt>
                <c:pt idx="483">
                  <c:v>-10.444566443718164</c:v>
                </c:pt>
                <c:pt idx="484">
                  <c:v>-10.493616443718164</c:v>
                </c:pt>
                <c:pt idx="485">
                  <c:v>-10.542666443718163</c:v>
                </c:pt>
                <c:pt idx="486">
                  <c:v>-10.591716443718163</c:v>
                </c:pt>
                <c:pt idx="487">
                  <c:v>-10.640766443718162</c:v>
                </c:pt>
                <c:pt idx="488">
                  <c:v>-10.689816443718161</c:v>
                </c:pt>
                <c:pt idx="489">
                  <c:v>-10.738866443718161</c:v>
                </c:pt>
                <c:pt idx="490">
                  <c:v>-10.78791644371816</c:v>
                </c:pt>
                <c:pt idx="491">
                  <c:v>-10.836966443718159</c:v>
                </c:pt>
                <c:pt idx="492">
                  <c:v>-10.886016443718159</c:v>
                </c:pt>
                <c:pt idx="493">
                  <c:v>-10.935066443718158</c:v>
                </c:pt>
                <c:pt idx="494">
                  <c:v>-10.984116443718158</c:v>
                </c:pt>
                <c:pt idx="495">
                  <c:v>-11.033166443718157</c:v>
                </c:pt>
                <c:pt idx="496">
                  <c:v>-11.082216443718156</c:v>
                </c:pt>
                <c:pt idx="497">
                  <c:v>-11.131266443718156</c:v>
                </c:pt>
                <c:pt idx="498">
                  <c:v>-11.180316443718155</c:v>
                </c:pt>
                <c:pt idx="499">
                  <c:v>-11.229366443718154</c:v>
                </c:pt>
                <c:pt idx="500">
                  <c:v>-11.278416443718154</c:v>
                </c:pt>
                <c:pt idx="501">
                  <c:v>-11.327466443718153</c:v>
                </c:pt>
                <c:pt idx="502">
                  <c:v>-11.376516443718153</c:v>
                </c:pt>
                <c:pt idx="503">
                  <c:v>-11.425566443718152</c:v>
                </c:pt>
                <c:pt idx="504">
                  <c:v>-11.474616443718151</c:v>
                </c:pt>
                <c:pt idx="505">
                  <c:v>-11.523666443718151</c:v>
                </c:pt>
                <c:pt idx="506">
                  <c:v>-11.57271644371815</c:v>
                </c:pt>
                <c:pt idx="507">
                  <c:v>-11.621766443718149</c:v>
                </c:pt>
                <c:pt idx="508">
                  <c:v>-11.670816443718149</c:v>
                </c:pt>
                <c:pt idx="509">
                  <c:v>-11.719866443718148</c:v>
                </c:pt>
                <c:pt idx="510">
                  <c:v>-11.768916443718147</c:v>
                </c:pt>
                <c:pt idx="511">
                  <c:v>-11.817966443718147</c:v>
                </c:pt>
                <c:pt idx="512">
                  <c:v>-11.867016443718146</c:v>
                </c:pt>
                <c:pt idx="513">
                  <c:v>-11.916066443718146</c:v>
                </c:pt>
                <c:pt idx="514">
                  <c:v>-11.965116443718145</c:v>
                </c:pt>
                <c:pt idx="515">
                  <c:v>-12.014166443718144</c:v>
                </c:pt>
                <c:pt idx="516">
                  <c:v>-12.063216443718144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3-417A-8B02-90A48F268B6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Feuil1!$Q$23:$Q$24</c:f>
              <c:numCache>
                <c:formatCode>General</c:formatCode>
                <c:ptCount val="2"/>
              </c:numCache>
            </c:numRef>
          </c:xVal>
          <c:yVal>
            <c:numRef>
              <c:f>Feuil1!$R$23:$R$24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3-417A-8B02-90A48F268B68}"/>
            </c:ext>
          </c:extLst>
        </c:ser>
        <c:ser>
          <c:idx val="2"/>
          <c:order val="2"/>
          <c:tx>
            <c:v>DEC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Feuil1!$AA$2:$AA$3</c:f>
              <c:numCache>
                <c:formatCode>General</c:formatCode>
                <c:ptCount val="2"/>
                <c:pt idx="0">
                  <c:v>1.1100000000000001</c:v>
                </c:pt>
                <c:pt idx="1">
                  <c:v>1.1100000000000001</c:v>
                </c:pt>
              </c:numCache>
            </c:numRef>
          </c:xVal>
          <c:yVal>
            <c:numRef>
              <c:f>Feuil1!$AC$2:$AC$3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CF-4D6C-A3E6-D6ABB318D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89312"/>
        <c:axId val="81791232"/>
      </c:scatterChart>
      <c:valAx>
        <c:axId val="81789312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791232"/>
        <c:crosses val="autoZero"/>
        <c:crossBetween val="midCat"/>
      </c:valAx>
      <c:valAx>
        <c:axId val="81791232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Vitesse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78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90993420343"/>
          <c:y val="5.1371871675491572E-2"/>
          <c:w val="0.80576938841548906"/>
          <c:h val="0.826246135618063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Feuil1!$A$3:$A$1600</c:f>
              <c:numCache>
                <c:formatCode>General</c:formatCode>
                <c:ptCount val="159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</c:v>
                </c:pt>
                <c:pt idx="432">
                  <c:v>2.1599999999999899</c:v>
                </c:pt>
                <c:pt idx="433">
                  <c:v>2.1649999999999898</c:v>
                </c:pt>
                <c:pt idx="434">
                  <c:v>2.1699999999999902</c:v>
                </c:pt>
                <c:pt idx="435">
                  <c:v>2.1749999999999901</c:v>
                </c:pt>
                <c:pt idx="436">
                  <c:v>2.1799999999999899</c:v>
                </c:pt>
                <c:pt idx="437">
                  <c:v>2.1849999999999898</c:v>
                </c:pt>
                <c:pt idx="438">
                  <c:v>2.1899999999999902</c:v>
                </c:pt>
                <c:pt idx="439">
                  <c:v>2.1949999999999901</c:v>
                </c:pt>
                <c:pt idx="440">
                  <c:v>2.19999999999999</c:v>
                </c:pt>
                <c:pt idx="441">
                  <c:v>2.2049999999999899</c:v>
                </c:pt>
                <c:pt idx="442">
                  <c:v>2.2099999999999902</c:v>
                </c:pt>
                <c:pt idx="443">
                  <c:v>2.2149999999999901</c:v>
                </c:pt>
                <c:pt idx="444">
                  <c:v>2.21999999999999</c:v>
                </c:pt>
                <c:pt idx="445">
                  <c:v>2.2249999999999899</c:v>
                </c:pt>
                <c:pt idx="446">
                  <c:v>2.2299999999999902</c:v>
                </c:pt>
                <c:pt idx="447">
                  <c:v>2.2349999999999901</c:v>
                </c:pt>
                <c:pt idx="448">
                  <c:v>2.23999999999999</c:v>
                </c:pt>
                <c:pt idx="449">
                  <c:v>2.2449999999999899</c:v>
                </c:pt>
                <c:pt idx="450">
                  <c:v>2.2499999999999898</c:v>
                </c:pt>
                <c:pt idx="451">
                  <c:v>2.2549999999999901</c:v>
                </c:pt>
                <c:pt idx="452">
                  <c:v>2.25999999999999</c:v>
                </c:pt>
                <c:pt idx="453">
                  <c:v>2.2649999999999899</c:v>
                </c:pt>
                <c:pt idx="454">
                  <c:v>2.2699999999999898</c:v>
                </c:pt>
                <c:pt idx="455">
                  <c:v>2.2749999999999901</c:v>
                </c:pt>
                <c:pt idx="456">
                  <c:v>2.27999999999999</c:v>
                </c:pt>
                <c:pt idx="457">
                  <c:v>2.2849999999999899</c:v>
                </c:pt>
                <c:pt idx="458">
                  <c:v>2.2899999999999898</c:v>
                </c:pt>
                <c:pt idx="459">
                  <c:v>2.2949999999999902</c:v>
                </c:pt>
                <c:pt idx="460">
                  <c:v>2.2999999999999901</c:v>
                </c:pt>
                <c:pt idx="461">
                  <c:v>2.3049999999999899</c:v>
                </c:pt>
                <c:pt idx="462">
                  <c:v>2.3099999999999898</c:v>
                </c:pt>
                <c:pt idx="463">
                  <c:v>2.3149999999999902</c:v>
                </c:pt>
                <c:pt idx="464">
                  <c:v>2.3199999999999901</c:v>
                </c:pt>
                <c:pt idx="465">
                  <c:v>2.32499999999999</c:v>
                </c:pt>
                <c:pt idx="466">
                  <c:v>2.3299999999999899</c:v>
                </c:pt>
                <c:pt idx="467">
                  <c:v>2.3349999999999902</c:v>
                </c:pt>
                <c:pt idx="468">
                  <c:v>2.3399999999999901</c:v>
                </c:pt>
                <c:pt idx="469">
                  <c:v>2.34499999999999</c:v>
                </c:pt>
                <c:pt idx="470">
                  <c:v>2.3499999999999899</c:v>
                </c:pt>
                <c:pt idx="471">
                  <c:v>2.3549999999999902</c:v>
                </c:pt>
                <c:pt idx="472">
                  <c:v>2.3599999999999901</c:v>
                </c:pt>
                <c:pt idx="473">
                  <c:v>2.36499999999999</c:v>
                </c:pt>
                <c:pt idx="474">
                  <c:v>2.3699999999999899</c:v>
                </c:pt>
                <c:pt idx="475">
                  <c:v>2.3749999999999898</c:v>
                </c:pt>
                <c:pt idx="476">
                  <c:v>2.3799999999999901</c:v>
                </c:pt>
                <c:pt idx="477">
                  <c:v>2.38499999999999</c:v>
                </c:pt>
                <c:pt idx="478">
                  <c:v>2.3899999999999899</c:v>
                </c:pt>
                <c:pt idx="479">
                  <c:v>2.3949999999999898</c:v>
                </c:pt>
                <c:pt idx="480">
                  <c:v>2.3999999999999901</c:v>
                </c:pt>
                <c:pt idx="481">
                  <c:v>2.40499999999999</c:v>
                </c:pt>
                <c:pt idx="482">
                  <c:v>2.4099999999999899</c:v>
                </c:pt>
                <c:pt idx="483">
                  <c:v>2.4149999999999898</c:v>
                </c:pt>
                <c:pt idx="484">
                  <c:v>2.4199999999999902</c:v>
                </c:pt>
                <c:pt idx="485">
                  <c:v>2.4249999999999901</c:v>
                </c:pt>
                <c:pt idx="486">
                  <c:v>2.4299999999999899</c:v>
                </c:pt>
                <c:pt idx="487">
                  <c:v>2.4349999999999898</c:v>
                </c:pt>
                <c:pt idx="488">
                  <c:v>2.4399999999999902</c:v>
                </c:pt>
                <c:pt idx="489">
                  <c:v>2.4449999999999901</c:v>
                </c:pt>
                <c:pt idx="490">
                  <c:v>2.44999999999999</c:v>
                </c:pt>
                <c:pt idx="491">
                  <c:v>2.4549999999999899</c:v>
                </c:pt>
                <c:pt idx="492">
                  <c:v>2.4599999999999902</c:v>
                </c:pt>
                <c:pt idx="493">
                  <c:v>2.4649999999999901</c:v>
                </c:pt>
                <c:pt idx="494">
                  <c:v>2.46999999999999</c:v>
                </c:pt>
                <c:pt idx="495">
                  <c:v>2.4749999999999899</c:v>
                </c:pt>
                <c:pt idx="496">
                  <c:v>2.4799999999999902</c:v>
                </c:pt>
                <c:pt idx="497">
                  <c:v>2.4849999999999901</c:v>
                </c:pt>
                <c:pt idx="498">
                  <c:v>2.48999999999999</c:v>
                </c:pt>
                <c:pt idx="499">
                  <c:v>2.4949999999999899</c:v>
                </c:pt>
                <c:pt idx="500">
                  <c:v>2.4999999999999898</c:v>
                </c:pt>
                <c:pt idx="501">
                  <c:v>2.5049999999999901</c:v>
                </c:pt>
                <c:pt idx="502">
                  <c:v>2.50999999999999</c:v>
                </c:pt>
                <c:pt idx="503">
                  <c:v>2.5149999999999899</c:v>
                </c:pt>
                <c:pt idx="504">
                  <c:v>2.5199999999999898</c:v>
                </c:pt>
                <c:pt idx="505">
                  <c:v>2.5249999999999901</c:v>
                </c:pt>
                <c:pt idx="506">
                  <c:v>2.52999999999999</c:v>
                </c:pt>
                <c:pt idx="507">
                  <c:v>2.5349999999999899</c:v>
                </c:pt>
                <c:pt idx="508">
                  <c:v>2.5399999999999898</c:v>
                </c:pt>
                <c:pt idx="509">
                  <c:v>2.5449999999999902</c:v>
                </c:pt>
                <c:pt idx="510">
                  <c:v>2.5499999999999901</c:v>
                </c:pt>
                <c:pt idx="511">
                  <c:v>2.5549999999999899</c:v>
                </c:pt>
                <c:pt idx="512">
                  <c:v>2.5599999999999898</c:v>
                </c:pt>
                <c:pt idx="513">
                  <c:v>2.5649999999999902</c:v>
                </c:pt>
                <c:pt idx="514">
                  <c:v>2.5699999999999901</c:v>
                </c:pt>
                <c:pt idx="515">
                  <c:v>2.57499999999999</c:v>
                </c:pt>
                <c:pt idx="516">
                  <c:v>2.5799999999999899</c:v>
                </c:pt>
              </c:numCache>
            </c:numRef>
          </c:xVal>
          <c:yVal>
            <c:numRef>
              <c:f>Feuil1!$F$3:$F$1600</c:f>
              <c:numCache>
                <c:formatCode>General</c:formatCode>
                <c:ptCount val="1598"/>
                <c:pt idx="1">
                  <c:v>-8.4643972697788446E-8</c:v>
                </c:pt>
                <c:pt idx="2">
                  <c:v>-4.4099982646907948E-7</c:v>
                </c:pt>
                <c:pt idx="3">
                  <c:v>-1.2101250867650474E-6</c:v>
                </c:pt>
                <c:pt idx="4">
                  <c:v>-2.4036996760752797E-6</c:v>
                </c:pt>
                <c:pt idx="5">
                  <c:v>-3.9875822825071454E-6</c:v>
                </c:pt>
                <c:pt idx="6">
                  <c:v>-5.9420068833859638E-6</c:v>
                </c:pt>
                <c:pt idx="7">
                  <c:v>-8.1897062991652271E-6</c:v>
                </c:pt>
                <c:pt idx="8">
                  <c:v>-1.0572552348447426E-5</c:v>
                </c:pt>
                <c:pt idx="9">
                  <c:v>-1.29261276608022E-5</c:v>
                </c:pt>
                <c:pt idx="10">
                  <c:v>-1.5130937644605308E-5</c:v>
                </c:pt>
                <c:pt idx="11">
                  <c:v>-1.7094441375516169E-5</c:v>
                </c:pt>
                <c:pt idx="12">
                  <c:v>-1.8740270129564394E-5</c:v>
                </c:pt>
                <c:pt idx="13">
                  <c:v>-2.0014516572182655E-5</c:v>
                </c:pt>
                <c:pt idx="14">
                  <c:v>-2.0912688425490346E-5</c:v>
                </c:pt>
                <c:pt idx="15">
                  <c:v>-2.1503068313272747E-5</c:v>
                </c:pt>
                <c:pt idx="16">
                  <c:v>-2.1866517237380842E-5</c:v>
                </c:pt>
                <c:pt idx="17">
                  <c:v>-2.2059637899110328E-5</c:v>
                </c:pt>
                <c:pt idx="18">
                  <c:v>-2.2131845355147928E-5</c:v>
                </c:pt>
                <c:pt idx="19">
                  <c:v>-2.2140640762365464E-5</c:v>
                </c:pt>
                <c:pt idx="20">
                  <c:v>-2.2179463500679632E-5</c:v>
                </c:pt>
                <c:pt idx="21">
                  <c:v>-2.2352534416920604E-5</c:v>
                </c:pt>
                <c:pt idx="22">
                  <c:v>-2.2782043469440995E-5</c:v>
                </c:pt>
                <c:pt idx="23">
                  <c:v>-2.3599165172354647E-5</c:v>
                </c:pt>
                <c:pt idx="24">
                  <c:v>-2.4875775971751337E-5</c:v>
                </c:pt>
                <c:pt idx="25">
                  <c:v>-2.6654103279708807E-5</c:v>
                </c:pt>
                <c:pt idx="26">
                  <c:v>-2.8965593041391329E-5</c:v>
                </c:pt>
                <c:pt idx="27">
                  <c:v>-3.1799463789885421E-5</c:v>
                </c:pt>
                <c:pt idx="28">
                  <c:v>-3.5132355680211915E-5</c:v>
                </c:pt>
                <c:pt idx="29">
                  <c:v>-3.8936416589511031E-5</c:v>
                </c:pt>
                <c:pt idx="30">
                  <c:v>-4.3128988604779539E-5</c:v>
                </c:pt>
                <c:pt idx="31">
                  <c:v>-4.7613038523796227E-5</c:v>
                </c:pt>
                <c:pt idx="32">
                  <c:v>-5.233106518968927E-5</c:v>
                </c:pt>
                <c:pt idx="33">
                  <c:v>-5.7178847755628501E-5</c:v>
                </c:pt>
                <c:pt idx="34">
                  <c:v>-6.1952436805834198E-5</c:v>
                </c:pt>
                <c:pt idx="35">
                  <c:v>-6.6374209567284626E-5</c:v>
                </c:pt>
                <c:pt idx="36">
                  <c:v>-7.0128808132760882E-5</c:v>
                </c:pt>
                <c:pt idx="37">
                  <c:v>-7.2972751041133858E-5</c:v>
                </c:pt>
                <c:pt idx="38">
                  <c:v>-7.4795528256540553E-5</c:v>
                </c:pt>
                <c:pt idx="39">
                  <c:v>-7.5610616612622781E-5</c:v>
                </c:pt>
                <c:pt idx="40">
                  <c:v>-7.5460243521458274E-5</c:v>
                </c:pt>
                <c:pt idx="41">
                  <c:v>-7.433722133843806E-5</c:v>
                </c:pt>
                <c:pt idx="42">
                  <c:v>-7.2312528054075802E-5</c:v>
                </c:pt>
                <c:pt idx="43">
                  <c:v>-6.949487679308228E-5</c:v>
                </c:pt>
                <c:pt idx="44">
                  <c:v>-6.5932784156568094E-5</c:v>
                </c:pt>
                <c:pt idx="45">
                  <c:v>-6.1728674080211167E-5</c:v>
                </c:pt>
                <c:pt idx="46">
                  <c:v>-5.7097277446704688E-5</c:v>
                </c:pt>
                <c:pt idx="47">
                  <c:v>-5.2393484208616919E-5</c:v>
                </c:pt>
                <c:pt idx="48">
                  <c:v>-4.7987458063310196E-5</c:v>
                </c:pt>
                <c:pt idx="49">
                  <c:v>-4.4036428736605879E-5</c:v>
                </c:pt>
                <c:pt idx="50">
                  <c:v>-4.0508051827763576E-5</c:v>
                </c:pt>
                <c:pt idx="51">
                  <c:v>-3.7262168266908243E-5</c:v>
                </c:pt>
                <c:pt idx="52">
                  <c:v>-3.4080453349042198E-5</c:v>
                </c:pt>
                <c:pt idx="53">
                  <c:v>-3.0777825225484267E-5</c:v>
                </c:pt>
                <c:pt idx="54">
                  <c:v>-2.7340807062592621E-5</c:v>
                </c:pt>
                <c:pt idx="55">
                  <c:v>-2.4009286499191884E-5</c:v>
                </c:pt>
                <c:pt idx="56">
                  <c:v>-2.1216319122972945E-5</c:v>
                </c:pt>
                <c:pt idx="57">
                  <c:v>-1.9625863604690085E-5</c:v>
                </c:pt>
                <c:pt idx="58">
                  <c:v>-2.0073483630136914E-5</c:v>
                </c:pt>
                <c:pt idx="59">
                  <c:v>-2.3509745198850674E-5</c:v>
                </c:pt>
                <c:pt idx="60">
                  <c:v>-3.128323013059073E-5</c:v>
                </c:pt>
                <c:pt idx="61">
                  <c:v>-4.4934789738406588E-5</c:v>
                </c:pt>
                <c:pt idx="62">
                  <c:v>-6.5988204679401445E-5</c:v>
                </c:pt>
                <c:pt idx="63">
                  <c:v>-9.6010381478332359E-5</c:v>
                </c:pt>
                <c:pt idx="64">
                  <c:v>-1.363858401780036E-4</c:v>
                </c:pt>
                <c:pt idx="65">
                  <c:v>-1.8848023325412084E-4</c:v>
                </c:pt>
                <c:pt idx="66">
                  <c:v>-2.5366011163796586E-4</c:v>
                </c:pt>
                <c:pt idx="67">
                  <c:v>-3.3290389345193581E-4</c:v>
                </c:pt>
                <c:pt idx="68">
                  <c:v>-4.2694112462384181E-4</c:v>
                </c:pt>
                <c:pt idx="69">
                  <c:v>-5.3626865108727948E-4</c:v>
                </c:pt>
                <c:pt idx="70">
                  <c:v>-6.6138781105372487E-4</c:v>
                </c:pt>
                <c:pt idx="71">
                  <c:v>-8.0369929676635254E-4</c:v>
                </c:pt>
                <c:pt idx="72">
                  <c:v>-9.6564690739221477E-4</c:v>
                </c:pt>
                <c:pt idx="73">
                  <c:v>-1.1504578953607423E-3</c:v>
                </c:pt>
                <c:pt idx="74">
                  <c:v>-1.3620737852843832E-3</c:v>
                </c:pt>
                <c:pt idx="75">
                  <c:v>-1.6050120117998797E-3</c:v>
                </c:pt>
                <c:pt idx="76">
                  <c:v>-1.8837298130203739E-3</c:v>
                </c:pt>
                <c:pt idx="77">
                  <c:v>-2.202465203898434E-3</c:v>
                </c:pt>
                <c:pt idx="78">
                  <c:v>-2.5661569947360032E-3</c:v>
                </c:pt>
                <c:pt idx="79">
                  <c:v>-2.9799479452508053E-3</c:v>
                </c:pt>
                <c:pt idx="80">
                  <c:v>-3.4485792055180368E-3</c:v>
                </c:pt>
                <c:pt idx="81">
                  <c:v>-3.9773013499245554E-3</c:v>
                </c:pt>
                <c:pt idx="82">
                  <c:v>-4.5718932447359794E-3</c:v>
                </c:pt>
                <c:pt idx="83">
                  <c:v>-5.2374967512144556E-3</c:v>
                </c:pt>
                <c:pt idx="84">
                  <c:v>-5.9784073854694236E-3</c:v>
                </c:pt>
                <c:pt idx="85">
                  <c:v>-6.7989503126443364E-3</c:v>
                </c:pt>
                <c:pt idx="86">
                  <c:v>-7.7030706511739457E-3</c:v>
                </c:pt>
                <c:pt idx="87">
                  <c:v>-8.6940199117882377E-3</c:v>
                </c:pt>
                <c:pt idx="88">
                  <c:v>-9.7751115986519522E-3</c:v>
                </c:pt>
                <c:pt idx="89">
                  <c:v>-1.0949489407825939E-2</c:v>
                </c:pt>
                <c:pt idx="90">
                  <c:v>-1.2219597138477253E-2</c:v>
                </c:pt>
                <c:pt idx="91">
                  <c:v>-1.358713556701149E-2</c:v>
                </c:pt>
                <c:pt idx="92">
                  <c:v>-1.5053376008068865E-2</c:v>
                </c:pt>
                <c:pt idx="93">
                  <c:v>-1.6619446921852986E-2</c:v>
                </c:pt>
                <c:pt idx="94">
                  <c:v>-1.8286403993665799E-2</c:v>
                </c:pt>
                <c:pt idx="95">
                  <c:v>-2.0055266072130623E-2</c:v>
                </c:pt>
                <c:pt idx="96">
                  <c:v>-2.1925923545667175E-2</c:v>
                </c:pt>
                <c:pt idx="97">
                  <c:v>-2.3896857125896228E-2</c:v>
                </c:pt>
                <c:pt idx="98">
                  <c:v>-2.5966871866901543E-2</c:v>
                </c:pt>
                <c:pt idx="99">
                  <c:v>-2.8136592195308521E-2</c:v>
                </c:pt>
                <c:pt idx="100">
                  <c:v>-3.0407850960492457E-2</c:v>
                </c:pt>
                <c:pt idx="101">
                  <c:v>-3.2781728106055848E-2</c:v>
                </c:pt>
                <c:pt idx="102">
                  <c:v>-3.5259082555529467E-2</c:v>
                </c:pt>
                <c:pt idx="103">
                  <c:v>-3.7841757041299939E-2</c:v>
                </c:pt>
                <c:pt idx="104">
                  <c:v>-4.0532220519290445E-2</c:v>
                </c:pt>
                <c:pt idx="105">
                  <c:v>-4.3333131519550733E-2</c:v>
                </c:pt>
                <c:pt idx="106">
                  <c:v>-4.6246865558624069E-2</c:v>
                </c:pt>
                <c:pt idx="107">
                  <c:v>-4.9275124311371633E-2</c:v>
                </c:pt>
                <c:pt idx="108">
                  <c:v>-5.2418831390125674E-2</c:v>
                </c:pt>
                <c:pt idx="109">
                  <c:v>-5.5678933767063427E-2</c:v>
                </c:pt>
                <c:pt idx="110">
                  <c:v>-5.9056738695048148E-2</c:v>
                </c:pt>
                <c:pt idx="111">
                  <c:v>-6.2553319828493298E-2</c:v>
                </c:pt>
                <c:pt idx="112">
                  <c:v>-6.6169722071233922E-2</c:v>
                </c:pt>
                <c:pt idx="113">
                  <c:v>-6.9907473696204994E-2</c:v>
                </c:pt>
                <c:pt idx="114">
                  <c:v>-7.376821258792178E-2</c:v>
                </c:pt>
                <c:pt idx="115">
                  <c:v>-7.7752892906206128E-2</c:v>
                </c:pt>
                <c:pt idx="116">
                  <c:v>-8.1862030364558733E-2</c:v>
                </c:pt>
                <c:pt idx="117">
                  <c:v>-8.6095998720499264E-2</c:v>
                </c:pt>
                <c:pt idx="118">
                  <c:v>-9.0454394567474034E-2</c:v>
                </c:pt>
                <c:pt idx="119">
                  <c:v>-9.4935925027909013E-2</c:v>
                </c:pt>
                <c:pt idx="120">
                  <c:v>-9.9538896513043207E-2</c:v>
                </c:pt>
                <c:pt idx="121">
                  <c:v>-0.10426137734338795</c:v>
                </c:pt>
                <c:pt idx="122">
                  <c:v>-0.10910180780006309</c:v>
                </c:pt>
                <c:pt idx="123">
                  <c:v>-0.11405958142555475</c:v>
                </c:pt>
                <c:pt idx="124">
                  <c:v>-0.11913457782681573</c:v>
                </c:pt>
                <c:pt idx="125">
                  <c:v>-0.12432638281582545</c:v>
                </c:pt>
                <c:pt idx="126">
                  <c:v>-0.12963395957484905</c:v>
                </c:pt>
                <c:pt idx="127">
                  <c:v>-0.13505530724331849</c:v>
                </c:pt>
                <c:pt idx="128">
                  <c:v>-0.14058735579853018</c:v>
                </c:pt>
                <c:pt idx="129">
                  <c:v>-0.14622650063671272</c:v>
                </c:pt>
                <c:pt idx="130">
                  <c:v>-0.15196897992436889</c:v>
                </c:pt>
                <c:pt idx="131">
                  <c:v>-0.15781048916083348</c:v>
                </c:pt>
                <c:pt idx="132">
                  <c:v>-0.16374469243738368</c:v>
                </c:pt>
                <c:pt idx="133">
                  <c:v>-0.16976343357429946</c:v>
                </c:pt>
                <c:pt idx="134">
                  <c:v>-0.17585751328493687</c:v>
                </c:pt>
                <c:pt idx="135">
                  <c:v>-0.18201540528270987</c:v>
                </c:pt>
                <c:pt idx="136">
                  <c:v>-0.18822366507837737</c:v>
                </c:pt>
                <c:pt idx="137">
                  <c:v>-0.19446758854798055</c:v>
                </c:pt>
                <c:pt idx="138">
                  <c:v>-0.20073008077727253</c:v>
                </c:pt>
                <c:pt idx="139">
                  <c:v>-0.20699306124623942</c:v>
                </c:pt>
                <c:pt idx="140">
                  <c:v>-0.21324027779196478</c:v>
                </c:pt>
                <c:pt idx="141">
                  <c:v>-0.21945766868622668</c:v>
                </c:pt>
                <c:pt idx="142">
                  <c:v>-0.22563244890617692</c:v>
                </c:pt>
                <c:pt idx="143">
                  <c:v>-0.23175405800497376</c:v>
                </c:pt>
                <c:pt idx="144">
                  <c:v>-0.23781449882953412</c:v>
                </c:pt>
                <c:pt idx="145">
                  <c:v>-0.24380595841016808</c:v>
                </c:pt>
                <c:pt idx="146">
                  <c:v>-0.24971931113358894</c:v>
                </c:pt>
                <c:pt idx="147">
                  <c:v>-0.25554386268307411</c:v>
                </c:pt>
                <c:pt idx="148">
                  <c:v>-0.26126732757707571</c:v>
                </c:pt>
                <c:pt idx="149">
                  <c:v>-0.26687615081631677</c:v>
                </c:pt>
                <c:pt idx="150">
                  <c:v>-0.27235681603511014</c:v>
                </c:pt>
                <c:pt idx="151">
                  <c:v>-0.2776960557399632</c:v>
                </c:pt>
                <c:pt idx="152">
                  <c:v>-0.2828791145949493</c:v>
                </c:pt>
                <c:pt idx="153">
                  <c:v>-0.28788969641282874</c:v>
                </c:pt>
                <c:pt idx="154">
                  <c:v>-0.29271186977932573</c:v>
                </c:pt>
                <c:pt idx="155">
                  <c:v>-0.29732967722495274</c:v>
                </c:pt>
                <c:pt idx="156">
                  <c:v>-0.30172403914709522</c:v>
                </c:pt>
                <c:pt idx="157">
                  <c:v>-0.30587216352469815</c:v>
                </c:pt>
                <c:pt idx="158">
                  <c:v>-0.30974933384486242</c:v>
                </c:pt>
                <c:pt idx="159">
                  <c:v>-0.31333114895259612</c:v>
                </c:pt>
                <c:pt idx="160">
                  <c:v>-0.31659565239052995</c:v>
                </c:pt>
                <c:pt idx="161">
                  <c:v>-0.319525713306194</c:v>
                </c:pt>
                <c:pt idx="162">
                  <c:v>-0.32210927262884553</c:v>
                </c:pt>
                <c:pt idx="163">
                  <c:v>-0.32433617421665212</c:v>
                </c:pt>
                <c:pt idx="164">
                  <c:v>-0.32619744249840826</c:v>
                </c:pt>
                <c:pt idx="165">
                  <c:v>-0.32768646214570696</c:v>
                </c:pt>
                <c:pt idx="166">
                  <c:v>-0.32879942011308316</c:v>
                </c:pt>
                <c:pt idx="167">
                  <c:v>-0.32953475129092324</c:v>
                </c:pt>
                <c:pt idx="168">
                  <c:v>-0.32989042786499195</c:v>
                </c:pt>
                <c:pt idx="169">
                  <c:v>-0.32986354243304494</c:v>
                </c:pt>
                <c:pt idx="170">
                  <c:v>-0.3294531498198161</c:v>
                </c:pt>
                <c:pt idx="171">
                  <c:v>-0.32866082591638596</c:v>
                </c:pt>
                <c:pt idx="172">
                  <c:v>-0.32748925351110481</c:v>
                </c:pt>
                <c:pt idx="173">
                  <c:v>-0.32594102015603194</c:v>
                </c:pt>
                <c:pt idx="174">
                  <c:v>-0.32401861008083527</c:v>
                </c:pt>
                <c:pt idx="175">
                  <c:v>-0.32172486060822419</c:v>
                </c:pt>
                <c:pt idx="176">
                  <c:v>-0.31906310231301943</c:v>
                </c:pt>
                <c:pt idx="177">
                  <c:v>-0.31603773313526606</c:v>
                </c:pt>
                <c:pt idx="178">
                  <c:v>-0.31265449061227324</c:v>
                </c:pt>
                <c:pt idx="179">
                  <c:v>-0.30892012484078435</c:v>
                </c:pt>
                <c:pt idx="180">
                  <c:v>-0.30484191151405482</c:v>
                </c:pt>
                <c:pt idx="181">
                  <c:v>-0.30042681545971073</c:v>
                </c:pt>
                <c:pt idx="182">
                  <c:v>-0.2956812875887887</c:v>
                </c:pt>
                <c:pt idx="183">
                  <c:v>-0.29061232776868223</c:v>
                </c:pt>
                <c:pt idx="184">
                  <c:v>-0.28522752345673175</c:v>
                </c:pt>
                <c:pt idx="185">
                  <c:v>-0.27953377479176184</c:v>
                </c:pt>
                <c:pt idx="186">
                  <c:v>-0.27353728650798115</c:v>
                </c:pt>
                <c:pt idx="187">
                  <c:v>-0.26724490034460191</c:v>
                </c:pt>
                <c:pt idx="188">
                  <c:v>-0.26066383179835595</c:v>
                </c:pt>
                <c:pt idx="189">
                  <c:v>-0.25380031435403039</c:v>
                </c:pt>
                <c:pt idx="190">
                  <c:v>-0.24665947909142047</c:v>
                </c:pt>
                <c:pt idx="191">
                  <c:v>-0.23924590094631981</c:v>
                </c:pt>
                <c:pt idx="192">
                  <c:v>-0.23156347382519532</c:v>
                </c:pt>
                <c:pt idx="193">
                  <c:v>-0.22361522103106063</c:v>
                </c:pt>
                <c:pt idx="194">
                  <c:v>-0.21540355851095996</c:v>
                </c:pt>
                <c:pt idx="195">
                  <c:v>-0.20693028946523459</c:v>
                </c:pt>
                <c:pt idx="196">
                  <c:v>-0.198196328521661</c:v>
                </c:pt>
                <c:pt idx="197">
                  <c:v>-0.18920187513737707</c:v>
                </c:pt>
                <c:pt idx="198">
                  <c:v>-0.17994687899887057</c:v>
                </c:pt>
                <c:pt idx="199">
                  <c:v>-0.17043088369070883</c:v>
                </c:pt>
                <c:pt idx="200">
                  <c:v>-0.16065306892295084</c:v>
                </c:pt>
                <c:pt idx="201">
                  <c:v>-0.15061282374580481</c:v>
                </c:pt>
                <c:pt idx="202">
                  <c:v>-0.14031009155656948</c:v>
                </c:pt>
                <c:pt idx="203">
                  <c:v>-0.12974546443746951</c:v>
                </c:pt>
                <c:pt idx="204">
                  <c:v>-0.11892028018885774</c:v>
                </c:pt>
                <c:pt idx="205">
                  <c:v>-0.10783714343344934</c:v>
                </c:pt>
                <c:pt idx="206">
                  <c:v>-9.650060484873739E-2</c:v>
                </c:pt>
                <c:pt idx="207">
                  <c:v>-8.4916889833408823E-2</c:v>
                </c:pt>
                <c:pt idx="208">
                  <c:v>-7.3094074604637405E-2</c:v>
                </c:pt>
                <c:pt idx="209">
                  <c:v>-6.1043773497655662E-2</c:v>
                </c:pt>
                <c:pt idx="210">
                  <c:v>-4.8781815502803721E-2</c:v>
                </c:pt>
                <c:pt idx="211">
                  <c:v>-3.6328440128844883E-2</c:v>
                </c:pt>
                <c:pt idx="212">
                  <c:v>-2.3709243476687295E-2</c:v>
                </c:pt>
                <c:pt idx="213">
                  <c:v>-1.095599673241379E-2</c:v>
                </c:pt>
                <c:pt idx="214">
                  <c:v>1.8970878140924779E-3</c:v>
                </c:pt>
                <c:pt idx="215">
                  <c:v>1.4812414289248677E-2</c:v>
                </c:pt>
                <c:pt idx="216">
                  <c:v>2.7739754534071695E-2</c:v>
                </c:pt>
                <c:pt idx="217">
                  <c:v>4.0620239942302863E-2</c:v>
                </c:pt>
                <c:pt idx="218">
                  <c:v>5.3393490705404459E-2</c:v>
                </c:pt>
                <c:pt idx="219">
                  <c:v>6.6000331843766344E-2</c:v>
                </c:pt>
                <c:pt idx="220">
                  <c:v>7.8394023901407497E-2</c:v>
                </c:pt>
                <c:pt idx="221">
                  <c:v>9.0549316682816586E-2</c:v>
                </c:pt>
                <c:pt idx="222">
                  <c:v>0.10245935946422569</c:v>
                </c:pt>
                <c:pt idx="223">
                  <c:v>0.11412415224563478</c:v>
                </c:pt>
                <c:pt idx="224">
                  <c:v>0.12554369502704388</c:v>
                </c:pt>
                <c:pt idx="225">
                  <c:v>0.13671798780845298</c:v>
                </c:pt>
                <c:pt idx="226">
                  <c:v>0.14764703058986209</c:v>
                </c:pt>
                <c:pt idx="227">
                  <c:v>0.15833082337127119</c:v>
                </c:pt>
                <c:pt idx="228">
                  <c:v>0.16876936615268029</c:v>
                </c:pt>
                <c:pt idx="229">
                  <c:v>0.17896265893408939</c:v>
                </c:pt>
                <c:pt idx="230">
                  <c:v>0.18891070171549848</c:v>
                </c:pt>
                <c:pt idx="231">
                  <c:v>0.19861349449690757</c:v>
                </c:pt>
                <c:pt idx="232">
                  <c:v>0.20807103727831666</c:v>
                </c:pt>
                <c:pt idx="233">
                  <c:v>0.21728333005972575</c:v>
                </c:pt>
                <c:pt idx="234">
                  <c:v>0.22625037284113486</c:v>
                </c:pt>
                <c:pt idx="235">
                  <c:v>0.23497216562254397</c:v>
                </c:pt>
                <c:pt idx="236">
                  <c:v>0.24344870840395308</c:v>
                </c:pt>
                <c:pt idx="237">
                  <c:v>0.25168000118536216</c:v>
                </c:pt>
                <c:pt idx="238">
                  <c:v>0.25966604396677123</c:v>
                </c:pt>
                <c:pt idx="239">
                  <c:v>0.26740683674818033</c:v>
                </c:pt>
                <c:pt idx="240">
                  <c:v>0.2749023795295894</c:v>
                </c:pt>
                <c:pt idx="241">
                  <c:v>0.2821526723109985</c:v>
                </c:pt>
                <c:pt idx="242">
                  <c:v>0.28915771509240762</c:v>
                </c:pt>
                <c:pt idx="243">
                  <c:v>0.29591750787381671</c:v>
                </c:pt>
                <c:pt idx="244">
                  <c:v>0.30243205065522583</c:v>
                </c:pt>
                <c:pt idx="245">
                  <c:v>0.30870134343663491</c:v>
                </c:pt>
                <c:pt idx="246">
                  <c:v>0.31472538621804402</c:v>
                </c:pt>
                <c:pt idx="247">
                  <c:v>0.3205041789994531</c:v>
                </c:pt>
                <c:pt idx="248">
                  <c:v>0.32603772178086221</c:v>
                </c:pt>
                <c:pt idx="249">
                  <c:v>0.33132601456227129</c:v>
                </c:pt>
                <c:pt idx="250">
                  <c:v>0.33636905734368039</c:v>
                </c:pt>
                <c:pt idx="251">
                  <c:v>0.34116685012508946</c:v>
                </c:pt>
                <c:pt idx="252">
                  <c:v>0.34571939290649856</c:v>
                </c:pt>
                <c:pt idx="253">
                  <c:v>0.35002668568790768</c:v>
                </c:pt>
                <c:pt idx="254">
                  <c:v>0.35408872846931677</c:v>
                </c:pt>
                <c:pt idx="255">
                  <c:v>0.35790552125072589</c:v>
                </c:pt>
                <c:pt idx="256">
                  <c:v>0.36147706403213498</c:v>
                </c:pt>
                <c:pt idx="257">
                  <c:v>0.36480335681354409</c:v>
                </c:pt>
                <c:pt idx="258">
                  <c:v>0.36788439959495317</c:v>
                </c:pt>
                <c:pt idx="259">
                  <c:v>0.37072019237636228</c:v>
                </c:pt>
                <c:pt idx="260">
                  <c:v>0.37331073515777136</c:v>
                </c:pt>
                <c:pt idx="261">
                  <c:v>0.37565602793918046</c:v>
                </c:pt>
                <c:pt idx="262">
                  <c:v>0.37775607072058953</c:v>
                </c:pt>
                <c:pt idx="263">
                  <c:v>0.37961086350199863</c:v>
                </c:pt>
                <c:pt idx="264">
                  <c:v>0.3812204062834077</c:v>
                </c:pt>
                <c:pt idx="265">
                  <c:v>0.38258469906481679</c:v>
                </c:pt>
                <c:pt idx="266">
                  <c:v>0.38370374184622591</c:v>
                </c:pt>
                <c:pt idx="267">
                  <c:v>0.384577534627635</c:v>
                </c:pt>
                <c:pt idx="268">
                  <c:v>0.38520607740904411</c:v>
                </c:pt>
                <c:pt idx="269">
                  <c:v>0.3855893701904532</c:v>
                </c:pt>
                <c:pt idx="270">
                  <c:v>0.3857274129718623</c:v>
                </c:pt>
                <c:pt idx="271">
                  <c:v>0.38562020575327138</c:v>
                </c:pt>
                <c:pt idx="272">
                  <c:v>0.38526774853468049</c:v>
                </c:pt>
                <c:pt idx="273">
                  <c:v>0.38467004131608956</c:v>
                </c:pt>
                <c:pt idx="274">
                  <c:v>0.38382708409749866</c:v>
                </c:pt>
                <c:pt idx="275">
                  <c:v>0.38273887687890773</c:v>
                </c:pt>
                <c:pt idx="276">
                  <c:v>0.38140541966031682</c:v>
                </c:pt>
                <c:pt idx="277">
                  <c:v>0.37982671244172594</c:v>
                </c:pt>
                <c:pt idx="278">
                  <c:v>0.37800275522313503</c:v>
                </c:pt>
                <c:pt idx="279">
                  <c:v>0.37593354800454415</c:v>
                </c:pt>
                <c:pt idx="280">
                  <c:v>0.37361909078595323</c:v>
                </c:pt>
                <c:pt idx="281">
                  <c:v>0.37105938356736234</c:v>
                </c:pt>
                <c:pt idx="282">
                  <c:v>0.36825442634877142</c:v>
                </c:pt>
                <c:pt idx="283">
                  <c:v>0.36520421913018053</c:v>
                </c:pt>
                <c:pt idx="284">
                  <c:v>0.3619087619115896</c:v>
                </c:pt>
                <c:pt idx="285">
                  <c:v>0.35836805469299871</c:v>
                </c:pt>
                <c:pt idx="286">
                  <c:v>0.35458209747440778</c:v>
                </c:pt>
                <c:pt idx="287">
                  <c:v>0.35055089025581687</c:v>
                </c:pt>
                <c:pt idx="288">
                  <c:v>0.34627443303722599</c:v>
                </c:pt>
                <c:pt idx="289">
                  <c:v>0.34175272581863508</c:v>
                </c:pt>
                <c:pt idx="290">
                  <c:v>0.3369857686000442</c:v>
                </c:pt>
                <c:pt idx="291">
                  <c:v>0.33197356138145329</c:v>
                </c:pt>
                <c:pt idx="292">
                  <c:v>0.3267161041628624</c:v>
                </c:pt>
                <c:pt idx="293">
                  <c:v>0.32121339694427148</c:v>
                </c:pt>
                <c:pt idx="294">
                  <c:v>0.31546543972568059</c:v>
                </c:pt>
                <c:pt idx="295">
                  <c:v>0.30947223250708966</c:v>
                </c:pt>
                <c:pt idx="296">
                  <c:v>0.30323377528849876</c:v>
                </c:pt>
                <c:pt idx="297">
                  <c:v>0.29675006806990784</c:v>
                </c:pt>
                <c:pt idx="298">
                  <c:v>0.29002111085131693</c:v>
                </c:pt>
                <c:pt idx="299">
                  <c:v>0.283046903632726</c:v>
                </c:pt>
                <c:pt idx="300">
                  <c:v>0.27582744641413509</c:v>
                </c:pt>
                <c:pt idx="301">
                  <c:v>0.26836273919554421</c:v>
                </c:pt>
                <c:pt idx="302">
                  <c:v>0.2606527819769533</c:v>
                </c:pt>
                <c:pt idx="303">
                  <c:v>0.25269757475836241</c:v>
                </c:pt>
                <c:pt idx="304">
                  <c:v>0.24449711753977149</c:v>
                </c:pt>
                <c:pt idx="305">
                  <c:v>0.23605141032118057</c:v>
                </c:pt>
                <c:pt idx="306">
                  <c:v>0.22736045310258968</c:v>
                </c:pt>
                <c:pt idx="307">
                  <c:v>0.21842424588399878</c:v>
                </c:pt>
                <c:pt idx="308">
                  <c:v>0.20924278866540788</c:v>
                </c:pt>
                <c:pt idx="309">
                  <c:v>0.19981608144681698</c:v>
                </c:pt>
                <c:pt idx="310">
                  <c:v>0.19014412422822607</c:v>
                </c:pt>
                <c:pt idx="311">
                  <c:v>0.18022691700963517</c:v>
                </c:pt>
                <c:pt idx="312">
                  <c:v>0.17006445979104426</c:v>
                </c:pt>
                <c:pt idx="313">
                  <c:v>0.15965675257245335</c:v>
                </c:pt>
                <c:pt idx="314">
                  <c:v>0.14900379535386243</c:v>
                </c:pt>
                <c:pt idx="315">
                  <c:v>0.13810558813527152</c:v>
                </c:pt>
                <c:pt idx="316">
                  <c:v>0.12696213091668063</c:v>
                </c:pt>
                <c:pt idx="317">
                  <c:v>0.11557342369808972</c:v>
                </c:pt>
                <c:pt idx="318">
                  <c:v>0.10393946647949881</c:v>
                </c:pt>
                <c:pt idx="319">
                  <c:v>9.2060259260907912E-2</c:v>
                </c:pt>
                <c:pt idx="320">
                  <c:v>7.9935802042317011E-2</c:v>
                </c:pt>
                <c:pt idx="321">
                  <c:v>6.7566094823726108E-2</c:v>
                </c:pt>
                <c:pt idx="322">
                  <c:v>5.495113760513521E-2</c:v>
                </c:pt>
                <c:pt idx="323">
                  <c:v>4.2090930386544309E-2</c:v>
                </c:pt>
                <c:pt idx="324">
                  <c:v>2.8985473167953413E-2</c:v>
                </c:pt>
                <c:pt idx="325">
                  <c:v>1.5634765949362514E-2</c:v>
                </c:pt>
                <c:pt idx="326">
                  <c:v>2.0388087307716182E-3</c:v>
                </c:pt>
                <c:pt idx="327">
                  <c:v>-1.1802398487819278E-2</c:v>
                </c:pt>
                <c:pt idx="328">
                  <c:v>-2.5888855706410172E-2</c:v>
                </c:pt>
                <c:pt idx="329">
                  <c:v>-4.0220562925001063E-2</c:v>
                </c:pt>
                <c:pt idx="330">
                  <c:v>-5.4797520143591953E-2</c:v>
                </c:pt>
                <c:pt idx="331">
                  <c:v>-6.9619727362182846E-2</c:v>
                </c:pt>
                <c:pt idx="332">
                  <c:v>-8.4687184580773733E-2</c:v>
                </c:pt>
                <c:pt idx="333">
                  <c:v>-9.9999891799364624E-2</c:v>
                </c:pt>
                <c:pt idx="334">
                  <c:v>-0.11555784901795552</c:v>
                </c:pt>
                <c:pt idx="335">
                  <c:v>-0.1313610562365464</c:v>
                </c:pt>
                <c:pt idx="336">
                  <c:v>-0.14740951345513728</c:v>
                </c:pt>
                <c:pt idx="337">
                  <c:v>-0.16370322067372817</c:v>
                </c:pt>
                <c:pt idx="338">
                  <c:v>-0.18024217789231906</c:v>
                </c:pt>
                <c:pt idx="339">
                  <c:v>-0.19702638511090995</c:v>
                </c:pt>
                <c:pt idx="340">
                  <c:v>-0.21405584232950084</c:v>
                </c:pt>
                <c:pt idx="341">
                  <c:v>-0.23133054954809174</c:v>
                </c:pt>
                <c:pt idx="342">
                  <c:v>-0.24885050676668261</c:v>
                </c:pt>
                <c:pt idx="343">
                  <c:v>-0.26661571398527351</c:v>
                </c:pt>
                <c:pt idx="344">
                  <c:v>-0.28462617120386441</c:v>
                </c:pt>
                <c:pt idx="345">
                  <c:v>-0.30288187842245529</c:v>
                </c:pt>
                <c:pt idx="346">
                  <c:v>-0.32138283564104614</c:v>
                </c:pt>
                <c:pt idx="347">
                  <c:v>-0.34012904285963702</c:v>
                </c:pt>
                <c:pt idx="348">
                  <c:v>-0.35912050007822788</c:v>
                </c:pt>
                <c:pt idx="349">
                  <c:v>-0.37835720729681876</c:v>
                </c:pt>
                <c:pt idx="350">
                  <c:v>-0.39783916451540963</c:v>
                </c:pt>
                <c:pt idx="351">
                  <c:v>-0.41756637173400052</c:v>
                </c:pt>
                <c:pt idx="352">
                  <c:v>-0.43753882895259139</c:v>
                </c:pt>
                <c:pt idx="353">
                  <c:v>-0.45775653617118228</c:v>
                </c:pt>
                <c:pt idx="354">
                  <c:v>-0.47821949338977315</c:v>
                </c:pt>
                <c:pt idx="355">
                  <c:v>-0.498927700608364</c:v>
                </c:pt>
                <c:pt idx="356">
                  <c:v>-0.51988115782695488</c:v>
                </c:pt>
                <c:pt idx="357">
                  <c:v>-0.54107986504554573</c:v>
                </c:pt>
                <c:pt idx="358">
                  <c:v>-0.56252382226413666</c:v>
                </c:pt>
                <c:pt idx="359">
                  <c:v>-0.58421302948272757</c:v>
                </c:pt>
                <c:pt idx="360">
                  <c:v>-0.60614748670131846</c:v>
                </c:pt>
                <c:pt idx="361">
                  <c:v>-0.62832719391990932</c:v>
                </c:pt>
                <c:pt idx="362">
                  <c:v>-0.65075215113850016</c:v>
                </c:pt>
                <c:pt idx="363">
                  <c:v>-0.67342235835709108</c:v>
                </c:pt>
                <c:pt idx="364">
                  <c:v>-0.69633781557568197</c:v>
                </c:pt>
                <c:pt idx="365">
                  <c:v>-0.71949852279427284</c:v>
                </c:pt>
                <c:pt idx="366">
                  <c:v>-0.74290448001286369</c:v>
                </c:pt>
                <c:pt idx="367">
                  <c:v>-0.76655568723145462</c:v>
                </c:pt>
                <c:pt idx="368">
                  <c:v>-0.79045214445004552</c:v>
                </c:pt>
                <c:pt idx="369">
                  <c:v>-0.8145938516686364</c:v>
                </c:pt>
                <c:pt idx="370">
                  <c:v>-0.83898080888722726</c:v>
                </c:pt>
                <c:pt idx="371">
                  <c:v>-0.8636130161058182</c:v>
                </c:pt>
                <c:pt idx="372">
                  <c:v>-0.88849047332440911</c:v>
                </c:pt>
                <c:pt idx="373">
                  <c:v>-0.913613180543</c:v>
                </c:pt>
                <c:pt idx="374">
                  <c:v>-0.93898113776159087</c:v>
                </c:pt>
                <c:pt idx="375">
                  <c:v>-0.96459434498018182</c:v>
                </c:pt>
                <c:pt idx="376">
                  <c:v>-0.99045280219877274</c:v>
                </c:pt>
                <c:pt idx="377">
                  <c:v>-1.0165565094173636</c:v>
                </c:pt>
                <c:pt idx="378">
                  <c:v>-1.0429054666359545</c:v>
                </c:pt>
                <c:pt idx="379">
                  <c:v>-1.0694996738545455</c:v>
                </c:pt>
                <c:pt idx="380">
                  <c:v>-1.0963391310731363</c:v>
                </c:pt>
                <c:pt idx="381">
                  <c:v>-1.1234238382917272</c:v>
                </c:pt>
                <c:pt idx="382">
                  <c:v>-1.1507537955103182</c:v>
                </c:pt>
                <c:pt idx="383">
                  <c:v>-1.1783290027289091</c:v>
                </c:pt>
                <c:pt idx="384">
                  <c:v>-1.2061494599475</c:v>
                </c:pt>
                <c:pt idx="385">
                  <c:v>-1.2342151671660908</c:v>
                </c:pt>
                <c:pt idx="386">
                  <c:v>-1.2625261243846817</c:v>
                </c:pt>
                <c:pt idx="387">
                  <c:v>-1.2910823316032727</c:v>
                </c:pt>
                <c:pt idx="388">
                  <c:v>-1.3198837888218635</c:v>
                </c:pt>
                <c:pt idx="389">
                  <c:v>-1.3489304960404545</c:v>
                </c:pt>
                <c:pt idx="390">
                  <c:v>-1.3782224532590455</c:v>
                </c:pt>
                <c:pt idx="391">
                  <c:v>-1.4077596604776363</c:v>
                </c:pt>
                <c:pt idx="392">
                  <c:v>-1.4375421176962273</c:v>
                </c:pt>
                <c:pt idx="393">
                  <c:v>-1.4675698249148181</c:v>
                </c:pt>
                <c:pt idx="394">
                  <c:v>-1.497842782133409</c:v>
                </c:pt>
                <c:pt idx="395">
                  <c:v>-1.528360989352</c:v>
                </c:pt>
                <c:pt idx="396">
                  <c:v>-1.5591244465705909</c:v>
                </c:pt>
                <c:pt idx="397">
                  <c:v>-1.5901331537891819</c:v>
                </c:pt>
                <c:pt idx="398">
                  <c:v>-1.6213871110077729</c:v>
                </c:pt>
                <c:pt idx="399">
                  <c:v>-1.6528863182263638</c:v>
                </c:pt>
                <c:pt idx="400">
                  <c:v>-1.6846307754449548</c:v>
                </c:pt>
                <c:pt idx="401">
                  <c:v>-1.7166204826635456</c:v>
                </c:pt>
                <c:pt idx="402">
                  <c:v>-1.7488554398821365</c:v>
                </c:pt>
                <c:pt idx="403">
                  <c:v>-1.7813356471007276</c:v>
                </c:pt>
                <c:pt idx="404">
                  <c:v>-1.8140611043193184</c:v>
                </c:pt>
                <c:pt idx="405">
                  <c:v>-1.8470318115379094</c:v>
                </c:pt>
                <c:pt idx="406">
                  <c:v>-1.8802477687565005</c:v>
                </c:pt>
                <c:pt idx="407">
                  <c:v>-1.9137089759750914</c:v>
                </c:pt>
                <c:pt idx="408">
                  <c:v>-1.9474154331936824</c:v>
                </c:pt>
                <c:pt idx="409">
                  <c:v>-1.9813671404122732</c:v>
                </c:pt>
                <c:pt idx="410">
                  <c:v>-2.0155640976308642</c:v>
                </c:pt>
                <c:pt idx="411">
                  <c:v>-2.0500063048494552</c:v>
                </c:pt>
                <c:pt idx="412">
                  <c:v>-2.0846937620680461</c:v>
                </c:pt>
                <c:pt idx="413">
                  <c:v>-2.1196264692866369</c:v>
                </c:pt>
                <c:pt idx="414">
                  <c:v>-2.154804426505228</c:v>
                </c:pt>
                <c:pt idx="415">
                  <c:v>-2.1902276337238189</c:v>
                </c:pt>
                <c:pt idx="416">
                  <c:v>-2.2258960909424097</c:v>
                </c:pt>
                <c:pt idx="417">
                  <c:v>-2.2618097981610008</c:v>
                </c:pt>
                <c:pt idx="418">
                  <c:v>-2.2979687553795918</c:v>
                </c:pt>
                <c:pt idx="419">
                  <c:v>-2.3343729625981826</c:v>
                </c:pt>
                <c:pt idx="420">
                  <c:v>-2.3710224198167738</c:v>
                </c:pt>
                <c:pt idx="421">
                  <c:v>-2.4079171270353648</c:v>
                </c:pt>
                <c:pt idx="422">
                  <c:v>-2.4450570842539556</c:v>
                </c:pt>
                <c:pt idx="423">
                  <c:v>-2.4824422914725468</c:v>
                </c:pt>
                <c:pt idx="424">
                  <c:v>-2.5200727486911378</c:v>
                </c:pt>
                <c:pt idx="425">
                  <c:v>-2.5579484559097287</c:v>
                </c:pt>
                <c:pt idx="426">
                  <c:v>-2.5960694131283195</c:v>
                </c:pt>
                <c:pt idx="427">
                  <c:v>-2.6344356203469106</c:v>
                </c:pt>
                <c:pt idx="428">
                  <c:v>-2.6730470775655015</c:v>
                </c:pt>
                <c:pt idx="429">
                  <c:v>-2.7119037847840923</c:v>
                </c:pt>
                <c:pt idx="430">
                  <c:v>-2.7510057420026834</c:v>
                </c:pt>
                <c:pt idx="431">
                  <c:v>-2.7903529492212744</c:v>
                </c:pt>
                <c:pt idx="432">
                  <c:v>-2.8299454064398653</c:v>
                </c:pt>
                <c:pt idx="433">
                  <c:v>-2.8697831136584564</c:v>
                </c:pt>
                <c:pt idx="434">
                  <c:v>-2.9098660708770474</c:v>
                </c:pt>
                <c:pt idx="435">
                  <c:v>-2.9501942780956383</c:v>
                </c:pt>
                <c:pt idx="436">
                  <c:v>-2.9907677353142295</c:v>
                </c:pt>
                <c:pt idx="437">
                  <c:v>-3.0315864425328205</c:v>
                </c:pt>
                <c:pt idx="438">
                  <c:v>-3.0726503997514114</c:v>
                </c:pt>
                <c:pt idx="439">
                  <c:v>-3.1139596069700022</c:v>
                </c:pt>
                <c:pt idx="440">
                  <c:v>-3.1555140641885933</c:v>
                </c:pt>
                <c:pt idx="441">
                  <c:v>-3.1973137714071842</c:v>
                </c:pt>
                <c:pt idx="442">
                  <c:v>-3.239358728625775</c:v>
                </c:pt>
                <c:pt idx="443">
                  <c:v>-3.2816489358443661</c:v>
                </c:pt>
                <c:pt idx="444">
                  <c:v>-3.3241843930629571</c:v>
                </c:pt>
                <c:pt idx="445">
                  <c:v>-3.3669651002815479</c:v>
                </c:pt>
                <c:pt idx="446">
                  <c:v>-3.4099910575001391</c:v>
                </c:pt>
                <c:pt idx="447">
                  <c:v>-3.4532622647187301</c:v>
                </c:pt>
                <c:pt idx="448">
                  <c:v>-3.496778721937321</c:v>
                </c:pt>
                <c:pt idx="449">
                  <c:v>-3.5405404291559117</c:v>
                </c:pt>
                <c:pt idx="450">
                  <c:v>-3.5845473863745028</c:v>
                </c:pt>
                <c:pt idx="451">
                  <c:v>-3.6287995935930937</c:v>
                </c:pt>
                <c:pt idx="452">
                  <c:v>-3.6732970508116844</c:v>
                </c:pt>
                <c:pt idx="453">
                  <c:v>-3.7180397580302755</c:v>
                </c:pt>
                <c:pt idx="454">
                  <c:v>-3.7630277152488665</c:v>
                </c:pt>
                <c:pt idx="455">
                  <c:v>-3.8082609224674573</c:v>
                </c:pt>
                <c:pt idx="456">
                  <c:v>-3.8537393796860484</c:v>
                </c:pt>
                <c:pt idx="457">
                  <c:v>-3.8994630869046394</c:v>
                </c:pt>
                <c:pt idx="458">
                  <c:v>-3.9454320441232302</c:v>
                </c:pt>
                <c:pt idx="459">
                  <c:v>-3.9916462513418209</c:v>
                </c:pt>
                <c:pt idx="460">
                  <c:v>-4.038105708560412</c:v>
                </c:pt>
                <c:pt idx="461">
                  <c:v>-4.0848104157790033</c:v>
                </c:pt>
                <c:pt idx="462">
                  <c:v>-4.1317603729975945</c:v>
                </c:pt>
                <c:pt idx="463">
                  <c:v>-4.1789555802161855</c:v>
                </c:pt>
                <c:pt idx="464">
                  <c:v>-4.2263960374347764</c:v>
                </c:pt>
                <c:pt idx="465">
                  <c:v>-4.2740817446533672</c:v>
                </c:pt>
                <c:pt idx="466">
                  <c:v>-4.3220127018719579</c:v>
                </c:pt>
                <c:pt idx="467">
                  <c:v>-4.3701889090905484</c:v>
                </c:pt>
                <c:pt idx="468">
                  <c:v>-4.4186103663091396</c:v>
                </c:pt>
                <c:pt idx="469">
                  <c:v>-4.4672770735277307</c:v>
                </c:pt>
                <c:pt idx="470">
                  <c:v>-4.5161890307463217</c:v>
                </c:pt>
                <c:pt idx="471">
                  <c:v>-4.5653462379649126</c:v>
                </c:pt>
                <c:pt idx="472">
                  <c:v>-4.6147486951835033</c:v>
                </c:pt>
                <c:pt idx="473">
                  <c:v>-4.6643964024020939</c:v>
                </c:pt>
                <c:pt idx="474">
                  <c:v>-4.7142893596206843</c:v>
                </c:pt>
                <c:pt idx="475">
                  <c:v>-4.7644275668392755</c:v>
                </c:pt>
                <c:pt idx="476">
                  <c:v>-4.8148110240578665</c:v>
                </c:pt>
                <c:pt idx="477">
                  <c:v>-4.8654397312764575</c:v>
                </c:pt>
                <c:pt idx="478">
                  <c:v>-4.9163136884950482</c:v>
                </c:pt>
                <c:pt idx="479">
                  <c:v>-4.9674328957136389</c:v>
                </c:pt>
                <c:pt idx="480">
                  <c:v>-5.0187973529322294</c:v>
                </c:pt>
                <c:pt idx="481">
                  <c:v>-5.0704070601508207</c:v>
                </c:pt>
                <c:pt idx="482">
                  <c:v>-5.1222620173694118</c:v>
                </c:pt>
                <c:pt idx="483">
                  <c:v>-5.1743622245880028</c:v>
                </c:pt>
                <c:pt idx="484">
                  <c:v>-5.2267076818065936</c:v>
                </c:pt>
                <c:pt idx="485">
                  <c:v>-5.2792983890251843</c:v>
                </c:pt>
                <c:pt idx="486">
                  <c:v>-5.3321343462437749</c:v>
                </c:pt>
                <c:pt idx="487">
                  <c:v>-5.3852155534623654</c:v>
                </c:pt>
                <c:pt idx="488">
                  <c:v>-5.4385420106809566</c:v>
                </c:pt>
                <c:pt idx="489">
                  <c:v>-5.4921137178995476</c:v>
                </c:pt>
                <c:pt idx="490">
                  <c:v>-5.5459306751181385</c:v>
                </c:pt>
                <c:pt idx="491">
                  <c:v>-5.5999928823367293</c:v>
                </c:pt>
                <c:pt idx="492">
                  <c:v>-5.65430033955532</c:v>
                </c:pt>
                <c:pt idx="493">
                  <c:v>-5.7088530467739105</c:v>
                </c:pt>
                <c:pt idx="494">
                  <c:v>-5.7636510039925009</c:v>
                </c:pt>
                <c:pt idx="495">
                  <c:v>-5.818694211211092</c:v>
                </c:pt>
                <c:pt idx="496">
                  <c:v>-5.873982668429683</c:v>
                </c:pt>
                <c:pt idx="497">
                  <c:v>-5.9295163756482738</c:v>
                </c:pt>
                <c:pt idx="498">
                  <c:v>-5.9852953328668645</c:v>
                </c:pt>
                <c:pt idx="499">
                  <c:v>-6.0413195400854551</c:v>
                </c:pt>
                <c:pt idx="500">
                  <c:v>-6.0975889973040456</c:v>
                </c:pt>
                <c:pt idx="501">
                  <c:v>-6.1541037045226368</c:v>
                </c:pt>
                <c:pt idx="502">
                  <c:v>-6.2108636617412278</c:v>
                </c:pt>
                <c:pt idx="503">
                  <c:v>-6.2678688689598188</c:v>
                </c:pt>
                <c:pt idx="504">
                  <c:v>-6.3251193261784096</c:v>
                </c:pt>
                <c:pt idx="505">
                  <c:v>-6.3826150333970002</c:v>
                </c:pt>
                <c:pt idx="506">
                  <c:v>-6.4403559906155907</c:v>
                </c:pt>
                <c:pt idx="507">
                  <c:v>-6.4983421978341811</c:v>
                </c:pt>
                <c:pt idx="508">
                  <c:v>-6.5565736550527722</c:v>
                </c:pt>
                <c:pt idx="509">
                  <c:v>-6.6150503622713632</c:v>
                </c:pt>
                <c:pt idx="510">
                  <c:v>-6.6737723194899541</c:v>
                </c:pt>
                <c:pt idx="511">
                  <c:v>-6.7327395267085448</c:v>
                </c:pt>
                <c:pt idx="512">
                  <c:v>-6.7919519839271354</c:v>
                </c:pt>
                <c:pt idx="513">
                  <c:v>-6.8514096911457258</c:v>
                </c:pt>
                <c:pt idx="514">
                  <c:v>-6.9111126483643162</c:v>
                </c:pt>
                <c:pt idx="515">
                  <c:v>-6.9710608555829072</c:v>
                </c:pt>
                <c:pt idx="516">
                  <c:v>-7.0312543128014982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11-4129-8671-153ACAE84AB4}"/>
            </c:ext>
          </c:extLst>
        </c:ser>
        <c:ser>
          <c:idx val="1"/>
          <c:order val="1"/>
          <c:tx>
            <c:v>DEC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Feuil1!$AA$2:$AA$3</c:f>
              <c:numCache>
                <c:formatCode>General</c:formatCode>
                <c:ptCount val="2"/>
                <c:pt idx="0">
                  <c:v>1.1100000000000001</c:v>
                </c:pt>
                <c:pt idx="1">
                  <c:v>1.1100000000000001</c:v>
                </c:pt>
              </c:numCache>
            </c:numRef>
          </c:xVal>
          <c:yVal>
            <c:numRef>
              <c:f>Feuil1!$AD$2:$AD$3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58-4B84-8948-FD2BB9482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11328"/>
        <c:axId val="81817600"/>
      </c:scatterChart>
      <c:valAx>
        <c:axId val="81811328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817600"/>
        <c:crosses val="autoZero"/>
        <c:crossBetween val="midCat"/>
      </c:valAx>
      <c:valAx>
        <c:axId val="81817600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81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196850</xdr:colOff>
      <xdr:row>1</xdr:row>
      <xdr:rowOff>0</xdr:rowOff>
    </xdr:from>
    <xdr:to>
      <xdr:col>13</xdr:col>
      <xdr:colOff>260350</xdr:colOff>
      <xdr:row>15</xdr:row>
      <xdr:rowOff>165100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196850</xdr:colOff>
      <xdr:row>46</xdr:row>
      <xdr:rowOff>31750</xdr:rowOff>
    </xdr:from>
    <xdr:to>
      <xdr:col>13</xdr:col>
      <xdr:colOff>260350</xdr:colOff>
      <xdr:row>61</xdr:row>
      <xdr:rowOff>12700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215900</xdr:colOff>
      <xdr:row>61</xdr:row>
      <xdr:rowOff>31750</xdr:rowOff>
    </xdr:from>
    <xdr:to>
      <xdr:col>13</xdr:col>
      <xdr:colOff>279400</xdr:colOff>
      <xdr:row>76</xdr:row>
      <xdr:rowOff>12700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196850</xdr:colOff>
      <xdr:row>16</xdr:row>
      <xdr:rowOff>19050</xdr:rowOff>
    </xdr:from>
    <xdr:to>
      <xdr:col>13</xdr:col>
      <xdr:colOff>260350</xdr:colOff>
      <xdr:row>31</xdr:row>
      <xdr:rowOff>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196850</xdr:colOff>
      <xdr:row>31</xdr:row>
      <xdr:rowOff>19050</xdr:rowOff>
    </xdr:from>
    <xdr:to>
      <xdr:col>13</xdr:col>
      <xdr:colOff>260350</xdr:colOff>
      <xdr:row>46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19"/>
  <sheetViews>
    <sheetView tabSelected="1" zoomScaleNormal="100" workbookViewId="0">
      <selection activeCell="O18" sqref="O18"/>
    </sheetView>
  </sheetViews>
  <sheetFormatPr baseColWidth="10" defaultRowHeight="14.4" x14ac:dyDescent="0.3"/>
  <cols>
    <col min="4" max="6" width="12.6640625" bestFit="1" customWidth="1"/>
    <col min="15" max="15" width="12.6640625" bestFit="1" customWidth="1"/>
    <col min="18" max="18" width="12" bestFit="1" customWidth="1"/>
  </cols>
  <sheetData>
    <row r="1" spans="1:46" x14ac:dyDescent="0.3">
      <c r="B1" s="1" t="s">
        <v>8</v>
      </c>
      <c r="C1" s="2">
        <f>-AVERAGE(B3:B21)</f>
        <v>-682.42105263157873</v>
      </c>
      <c r="D1" s="1" t="s">
        <v>7</v>
      </c>
      <c r="E1" s="2">
        <f>C1/-9.81</f>
        <v>69.563817801384175</v>
      </c>
      <c r="H1" s="3" t="s">
        <v>9</v>
      </c>
      <c r="I1" s="4"/>
      <c r="J1" s="3" t="s">
        <v>10</v>
      </c>
      <c r="K1" s="4"/>
      <c r="L1" s="3" t="s">
        <v>11</v>
      </c>
      <c r="AS1">
        <v>0</v>
      </c>
      <c r="AT1">
        <f>-C1</f>
        <v>682.42105263157873</v>
      </c>
    </row>
    <row r="2" spans="1:4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G2" t="s">
        <v>5</v>
      </c>
      <c r="O2" t="s">
        <v>14</v>
      </c>
      <c r="Q2" t="s">
        <v>12</v>
      </c>
      <c r="R2">
        <f ca="1">INDIRECT("F"&amp;O3)-MIN(F3:INDIRECT("F"&amp;O3))</f>
        <v>0.40828445176639944</v>
      </c>
      <c r="AA2">
        <f>(O3-1)*0.005</f>
        <v>1.1100000000000001</v>
      </c>
      <c r="AB2">
        <v>0</v>
      </c>
      <c r="AC2">
        <v>0</v>
      </c>
      <c r="AD2">
        <v>0</v>
      </c>
      <c r="AS2">
        <v>2</v>
      </c>
      <c r="AT2">
        <f>AT1</f>
        <v>682.42105263157873</v>
      </c>
    </row>
    <row r="3" spans="1:46" x14ac:dyDescent="0.3">
      <c r="A3">
        <v>0</v>
      </c>
      <c r="B3">
        <v>682.25</v>
      </c>
      <c r="C3">
        <f>B3+$C$1</f>
        <v>-0.17105263157873196</v>
      </c>
      <c r="E3">
        <v>0</v>
      </c>
      <c r="O3">
        <f>MATCH(0,B:B,0)</f>
        <v>223</v>
      </c>
      <c r="Q3" t="s">
        <v>13</v>
      </c>
      <c r="R3">
        <f ca="1">MAX(INDIRECT("F"&amp;O3):INDIRECT("F"&amp;O3+1000))-INDIRECT("F"&amp;O3)</f>
        <v>0.30733338907045482</v>
      </c>
      <c r="AA3">
        <f>(O3-1)*0.005</f>
        <v>1.1100000000000001</v>
      </c>
      <c r="AB3">
        <v>4000</v>
      </c>
      <c r="AC3">
        <v>3</v>
      </c>
      <c r="AD3">
        <v>0.5</v>
      </c>
    </row>
    <row r="4" spans="1:46" x14ac:dyDescent="0.3">
      <c r="A4">
        <v>5.0000000000000001E-3</v>
      </c>
      <c r="B4">
        <v>681.65</v>
      </c>
      <c r="C4">
        <f t="shared" ref="C4:C67" si="0">B4+$C$1</f>
        <v>-0.7710526315787547</v>
      </c>
      <c r="D4">
        <f>1/$E$1*(C3+C4)*0.005/2</f>
        <v>-3.385758907911538E-5</v>
      </c>
      <c r="E4">
        <f>E3+D4</f>
        <v>-3.385758907911538E-5</v>
      </c>
      <c r="F4">
        <f>F3+(E3+E4)*0.005/2</f>
        <v>-8.4643972697788446E-8</v>
      </c>
      <c r="G4">
        <f>B4*E4</f>
        <v>-2.3079025595778999E-2</v>
      </c>
    </row>
    <row r="5" spans="1:46" x14ac:dyDescent="0.3">
      <c r="A5">
        <v>0.01</v>
      </c>
      <c r="B5">
        <v>681.11</v>
      </c>
      <c r="C5">
        <f t="shared" si="0"/>
        <v>-1.3110526315787183</v>
      </c>
      <c r="D5">
        <f t="shared" ref="D5:D68" si="1">1/$E$1*(C4+C5)*0.005/2</f>
        <v>-7.4827163350285643E-5</v>
      </c>
      <c r="E5">
        <f t="shared" ref="E5:E68" si="2">E4+D5</f>
        <v>-1.0868475242940102E-4</v>
      </c>
      <c r="F5">
        <f t="shared" ref="F5:F68" si="3">F4+(E4+E5)*0.005/2</f>
        <v>-4.4099982646907948E-7</v>
      </c>
      <c r="G5">
        <f t="shared" ref="G5:G68" si="4">B5*E5</f>
        <v>-7.4026271727189327E-2</v>
      </c>
    </row>
    <row r="6" spans="1:46" x14ac:dyDescent="0.3">
      <c r="A6">
        <v>1.4999999999999999E-2</v>
      </c>
      <c r="B6">
        <v>681.22</v>
      </c>
      <c r="C6">
        <f t="shared" si="0"/>
        <v>-1.2010526315787047</v>
      </c>
      <c r="D6">
        <f t="shared" si="1"/>
        <v>-9.0280599259585107E-5</v>
      </c>
      <c r="E6">
        <f t="shared" si="2"/>
        <v>-1.9896535168898612E-4</v>
      </c>
      <c r="F6">
        <f t="shared" si="3"/>
        <v>-1.2101250867650474E-6</v>
      </c>
      <c r="G6">
        <f t="shared" si="4"/>
        <v>-0.13553917687757114</v>
      </c>
    </row>
    <row r="7" spans="1:46" x14ac:dyDescent="0.3">
      <c r="A7">
        <v>0.02</v>
      </c>
      <c r="B7">
        <v>681.41</v>
      </c>
      <c r="C7">
        <f t="shared" si="0"/>
        <v>-1.0110526315787638</v>
      </c>
      <c r="D7">
        <f t="shared" si="1"/>
        <v>-7.9499132346120736E-5</v>
      </c>
      <c r="E7">
        <f t="shared" si="2"/>
        <v>-2.7846448403510689E-4</v>
      </c>
      <c r="F7">
        <f t="shared" si="3"/>
        <v>-2.4036996760752797E-6</v>
      </c>
      <c r="G7">
        <f t="shared" si="4"/>
        <v>-0.18974848406636216</v>
      </c>
    </row>
    <row r="8" spans="1:46" x14ac:dyDescent="0.3">
      <c r="A8">
        <v>2.5000000000000001E-2</v>
      </c>
      <c r="B8">
        <v>681.3</v>
      </c>
      <c r="C8">
        <f t="shared" si="0"/>
        <v>-1.1210526315787774</v>
      </c>
      <c r="D8">
        <f t="shared" si="1"/>
        <v>-7.6624074502532429E-5</v>
      </c>
      <c r="E8">
        <f t="shared" si="2"/>
        <v>-3.550885585376393E-4</v>
      </c>
      <c r="F8">
        <f t="shared" si="3"/>
        <v>-3.9875822825071454E-6</v>
      </c>
      <c r="G8">
        <f t="shared" si="4"/>
        <v>-0.24192183493169364</v>
      </c>
    </row>
    <row r="9" spans="1:46" x14ac:dyDescent="0.3">
      <c r="A9">
        <v>0.03</v>
      </c>
      <c r="B9">
        <v>681.55</v>
      </c>
      <c r="C9">
        <f t="shared" si="0"/>
        <v>-0.87105263157877744</v>
      </c>
      <c r="D9">
        <f t="shared" si="1"/>
        <v>-7.159272327624879E-5</v>
      </c>
      <c r="E9">
        <f t="shared" si="2"/>
        <v>-4.2668128181388808E-4</v>
      </c>
      <c r="F9">
        <f t="shared" si="3"/>
        <v>-5.9420068833859638E-6</v>
      </c>
      <c r="G9">
        <f t="shared" si="4"/>
        <v>-0.29080462762025538</v>
      </c>
    </row>
    <row r="10" spans="1:46" x14ac:dyDescent="0.3">
      <c r="A10">
        <v>3.5000000000000003E-2</v>
      </c>
      <c r="B10">
        <v>682.02</v>
      </c>
      <c r="C10">
        <f t="shared" si="0"/>
        <v>-0.40105263157875015</v>
      </c>
      <c r="D10">
        <f t="shared" si="1"/>
        <v>-4.5717202683929437E-5</v>
      </c>
      <c r="E10">
        <f t="shared" si="2"/>
        <v>-4.7239848449781753E-4</v>
      </c>
      <c r="F10">
        <f t="shared" si="3"/>
        <v>-8.1897062991652271E-6</v>
      </c>
      <c r="G10">
        <f t="shared" si="4"/>
        <v>-0.32218521439720149</v>
      </c>
    </row>
    <row r="11" spans="1:46" x14ac:dyDescent="0.3">
      <c r="A11">
        <v>0.04</v>
      </c>
      <c r="B11">
        <v>682.59</v>
      </c>
      <c r="C11">
        <f t="shared" si="0"/>
        <v>0.16894736842129987</v>
      </c>
      <c r="D11">
        <f t="shared" si="1"/>
        <v>-8.3414507172445566E-6</v>
      </c>
      <c r="E11">
        <f t="shared" si="2"/>
        <v>-4.8073993521506207E-4</v>
      </c>
      <c r="F11">
        <f t="shared" si="3"/>
        <v>-1.0572552348447426E-5</v>
      </c>
      <c r="G11">
        <f t="shared" si="4"/>
        <v>-0.32814827237844924</v>
      </c>
    </row>
    <row r="12" spans="1:46" x14ac:dyDescent="0.3">
      <c r="A12">
        <v>4.4999999999999998E-2</v>
      </c>
      <c r="B12">
        <v>682.81</v>
      </c>
      <c r="C12">
        <f t="shared" si="0"/>
        <v>0.38894736842121347</v>
      </c>
      <c r="D12">
        <f t="shared" si="1"/>
        <v>2.0049745488214577E-5</v>
      </c>
      <c r="E12">
        <f t="shared" si="2"/>
        <v>-4.606901897268475E-4</v>
      </c>
      <c r="F12">
        <f t="shared" si="3"/>
        <v>-1.29261276608022E-5</v>
      </c>
      <c r="G12">
        <f t="shared" si="4"/>
        <v>-0.31456386844738871</v>
      </c>
    </row>
    <row r="13" spans="1:46" x14ac:dyDescent="0.3">
      <c r="A13">
        <v>0.05</v>
      </c>
      <c r="B13">
        <v>683.13</v>
      </c>
      <c r="C13">
        <f t="shared" si="0"/>
        <v>0.70894736842126349</v>
      </c>
      <c r="D13">
        <f t="shared" si="1"/>
        <v>3.9456385932452055E-5</v>
      </c>
      <c r="E13">
        <f t="shared" si="2"/>
        <v>-4.2123380379439543E-4</v>
      </c>
      <c r="F13">
        <f t="shared" si="3"/>
        <v>-1.5130937644605308E-5</v>
      </c>
      <c r="G13">
        <f t="shared" si="4"/>
        <v>-0.28775744838606537</v>
      </c>
    </row>
    <row r="14" spans="1:46" x14ac:dyDescent="0.3">
      <c r="A14">
        <v>5.5E-2</v>
      </c>
      <c r="B14">
        <v>683.3</v>
      </c>
      <c r="C14">
        <f t="shared" si="0"/>
        <v>0.87894736842122256</v>
      </c>
      <c r="D14">
        <f t="shared" si="1"/>
        <v>5.7066115224446831E-5</v>
      </c>
      <c r="E14">
        <f t="shared" si="2"/>
        <v>-3.641676885699486E-4</v>
      </c>
      <c r="F14">
        <f t="shared" si="3"/>
        <v>-1.7094441375516169E-5</v>
      </c>
      <c r="G14">
        <f t="shared" si="4"/>
        <v>-0.24883578159984587</v>
      </c>
    </row>
    <row r="15" spans="1:46" x14ac:dyDescent="0.3">
      <c r="A15">
        <v>0.06</v>
      </c>
      <c r="B15">
        <v>683.49</v>
      </c>
      <c r="C15">
        <f t="shared" si="0"/>
        <v>1.0689473684212771</v>
      </c>
      <c r="D15">
        <f t="shared" si="1"/>
        <v>7.0003875520606508E-5</v>
      </c>
      <c r="E15">
        <f t="shared" si="2"/>
        <v>-2.9416381304934211E-4</v>
      </c>
      <c r="F15">
        <f t="shared" si="3"/>
        <v>-1.8740270129564394E-5</v>
      </c>
      <c r="G15">
        <f t="shared" si="4"/>
        <v>-0.20105802458109484</v>
      </c>
    </row>
    <row r="16" spans="1:46" x14ac:dyDescent="0.3">
      <c r="A16">
        <v>6.5000000000000002E-2</v>
      </c>
      <c r="B16">
        <v>683.54</v>
      </c>
      <c r="C16">
        <f t="shared" si="0"/>
        <v>1.1189473684212317</v>
      </c>
      <c r="D16">
        <f t="shared" si="1"/>
        <v>7.8629049051379639E-5</v>
      </c>
      <c r="E16">
        <f t="shared" si="2"/>
        <v>-2.1553476399796247E-4</v>
      </c>
      <c r="F16">
        <f t="shared" si="3"/>
        <v>-2.0014516572182655E-5</v>
      </c>
      <c r="G16">
        <f t="shared" si="4"/>
        <v>-0.14732663258316725</v>
      </c>
    </row>
    <row r="17" spans="1:7" x14ac:dyDescent="0.3">
      <c r="A17">
        <v>7.0000000000000007E-2</v>
      </c>
      <c r="B17">
        <v>683.3</v>
      </c>
      <c r="C17">
        <f t="shared" si="0"/>
        <v>0.87894736842122256</v>
      </c>
      <c r="D17">
        <f t="shared" si="1"/>
        <v>7.1800786672849201E-5</v>
      </c>
      <c r="E17">
        <f t="shared" si="2"/>
        <v>-1.4373397732511325E-4</v>
      </c>
      <c r="F17">
        <f t="shared" si="3"/>
        <v>-2.0912688425490346E-5</v>
      </c>
      <c r="G17">
        <f t="shared" si="4"/>
        <v>-9.8213426706249884E-2</v>
      </c>
    </row>
    <row r="18" spans="1:7" x14ac:dyDescent="0.3">
      <c r="A18">
        <v>7.4999999999999997E-2</v>
      </c>
      <c r="B18">
        <v>682.97</v>
      </c>
      <c r="C18">
        <f t="shared" si="0"/>
        <v>0.54894736842129532</v>
      </c>
      <c r="D18">
        <f t="shared" si="1"/>
        <v>5.1315999537266112E-5</v>
      </c>
      <c r="E18">
        <f t="shared" si="2"/>
        <v>-9.2417977787847142E-5</v>
      </c>
      <c r="F18">
        <f t="shared" si="3"/>
        <v>-2.1503068313272747E-5</v>
      </c>
      <c r="G18">
        <f t="shared" si="4"/>
        <v>-6.3118706289765972E-2</v>
      </c>
    </row>
    <row r="19" spans="1:7" x14ac:dyDescent="0.3">
      <c r="A19">
        <v>0.08</v>
      </c>
      <c r="B19">
        <v>682.97</v>
      </c>
      <c r="C19">
        <f t="shared" si="0"/>
        <v>0.54894736842129532</v>
      </c>
      <c r="D19">
        <f t="shared" si="1"/>
        <v>3.9456385932456135E-5</v>
      </c>
      <c r="E19">
        <f t="shared" si="2"/>
        <v>-5.2961591855391008E-5</v>
      </c>
      <c r="F19">
        <f t="shared" si="3"/>
        <v>-2.1866517237380842E-5</v>
      </c>
      <c r="G19">
        <f t="shared" si="4"/>
        <v>-3.6171178389476401E-2</v>
      </c>
    </row>
    <row r="20" spans="1:7" x14ac:dyDescent="0.3">
      <c r="A20">
        <v>8.5000000000000006E-2</v>
      </c>
      <c r="B20">
        <v>682.67</v>
      </c>
      <c r="C20">
        <f t="shared" si="0"/>
        <v>0.24894736842122711</v>
      </c>
      <c r="D20">
        <f t="shared" si="1"/>
        <v>2.8674919018987694E-5</v>
      </c>
      <c r="E20">
        <f t="shared" si="2"/>
        <v>-2.4286672836403313E-5</v>
      </c>
      <c r="F20">
        <f t="shared" si="3"/>
        <v>-2.2059637899110328E-5</v>
      </c>
      <c r="G20">
        <f t="shared" si="4"/>
        <v>-1.657978294522745E-2</v>
      </c>
    </row>
    <row r="21" spans="1:7" x14ac:dyDescent="0.3">
      <c r="A21">
        <v>0.09</v>
      </c>
      <c r="B21">
        <v>682.72</v>
      </c>
      <c r="C21">
        <f t="shared" si="0"/>
        <v>0.29894736842129532</v>
      </c>
      <c r="D21">
        <f t="shared" si="1"/>
        <v>1.9690363257766037E-5</v>
      </c>
      <c r="E21">
        <f t="shared" si="2"/>
        <v>-4.5963095786372764E-6</v>
      </c>
      <c r="F21">
        <f t="shared" si="3"/>
        <v>-2.2131845355147928E-5</v>
      </c>
      <c r="G21">
        <f t="shared" si="4"/>
        <v>-3.1379924755272413E-3</v>
      </c>
    </row>
    <row r="22" spans="1:7" x14ac:dyDescent="0.3">
      <c r="A22">
        <v>9.5000000000000001E-2</v>
      </c>
      <c r="B22">
        <v>682.28</v>
      </c>
      <c r="C22">
        <f t="shared" si="0"/>
        <v>-0.14105263157875925</v>
      </c>
      <c r="D22">
        <f t="shared" si="1"/>
        <v>5.6744562702607409E-6</v>
      </c>
      <c r="E22">
        <f t="shared" si="2"/>
        <v>1.0781466916234645E-6</v>
      </c>
      <c r="F22">
        <f t="shared" si="3"/>
        <v>-2.2140640762365464E-5</v>
      </c>
      <c r="G22">
        <f t="shared" si="4"/>
        <v>7.3559792476085735E-4</v>
      </c>
    </row>
    <row r="23" spans="1:7" x14ac:dyDescent="0.3">
      <c r="A23">
        <v>0.1</v>
      </c>
      <c r="B23">
        <v>682.07</v>
      </c>
      <c r="C23">
        <f t="shared" si="0"/>
        <v>-0.35105263157868194</v>
      </c>
      <c r="D23">
        <f t="shared" si="1"/>
        <v>-1.7685388708914754E-5</v>
      </c>
      <c r="E23">
        <f t="shared" si="2"/>
        <v>-1.6607242017291291E-5</v>
      </c>
      <c r="F23">
        <f t="shared" si="3"/>
        <v>-2.2179463500679632E-5</v>
      </c>
      <c r="G23">
        <f t="shared" si="4"/>
        <v>-1.1327301562733871E-2</v>
      </c>
    </row>
    <row r="24" spans="1:7" x14ac:dyDescent="0.3">
      <c r="A24">
        <v>0.105</v>
      </c>
      <c r="B24">
        <v>681.77</v>
      </c>
      <c r="C24">
        <f t="shared" si="0"/>
        <v>-0.65105263157875015</v>
      </c>
      <c r="D24">
        <f t="shared" si="1"/>
        <v>-3.6013882461806613E-5</v>
      </c>
      <c r="E24">
        <f t="shared" si="2"/>
        <v>-5.2621124479097904E-5</v>
      </c>
      <c r="F24">
        <f t="shared" si="3"/>
        <v>-2.2352534416920604E-5</v>
      </c>
      <c r="G24">
        <f t="shared" si="4"/>
        <v>-3.5875504036114579E-2</v>
      </c>
    </row>
    <row r="25" spans="1:7" x14ac:dyDescent="0.3">
      <c r="A25">
        <v>0.11</v>
      </c>
      <c r="B25">
        <v>681.22</v>
      </c>
      <c r="C25">
        <f t="shared" si="0"/>
        <v>-1.2010526315787047</v>
      </c>
      <c r="D25">
        <f t="shared" si="1"/>
        <v>-6.6561372049961059E-5</v>
      </c>
      <c r="E25">
        <f t="shared" si="2"/>
        <v>-1.1918249652905896E-4</v>
      </c>
      <c r="F25">
        <f t="shared" si="3"/>
        <v>-2.2782043469440995E-5</v>
      </c>
      <c r="G25">
        <f t="shared" si="4"/>
        <v>-8.1189500285525545E-2</v>
      </c>
    </row>
    <row r="26" spans="1:7" x14ac:dyDescent="0.3">
      <c r="A26">
        <v>0.115</v>
      </c>
      <c r="B26">
        <v>681.16</v>
      </c>
      <c r="C26">
        <f t="shared" si="0"/>
        <v>-1.2610526315787638</v>
      </c>
      <c r="D26">
        <f t="shared" si="1"/>
        <v>-8.8483688107342414E-5</v>
      </c>
      <c r="E26">
        <f t="shared" si="2"/>
        <v>-2.0766618463640137E-4</v>
      </c>
      <c r="F26">
        <f t="shared" si="3"/>
        <v>-2.3599165172354647E-5</v>
      </c>
      <c r="G26">
        <f t="shared" si="4"/>
        <v>-0.14145389832693114</v>
      </c>
    </row>
    <row r="27" spans="1:7" x14ac:dyDescent="0.3">
      <c r="A27">
        <v>0.12</v>
      </c>
      <c r="B27">
        <v>681.03</v>
      </c>
      <c r="C27">
        <f t="shared" si="0"/>
        <v>-1.3910526315787592</v>
      </c>
      <c r="D27">
        <f t="shared" si="1"/>
        <v>-9.5311950485872825E-5</v>
      </c>
      <c r="E27">
        <f t="shared" si="2"/>
        <v>-3.0297813512227418E-4</v>
      </c>
      <c r="F27">
        <f t="shared" si="3"/>
        <v>-2.4875775971751337E-5</v>
      </c>
      <c r="G27">
        <f t="shared" si="4"/>
        <v>-0.20633719936232237</v>
      </c>
    </row>
    <row r="28" spans="1:7" x14ac:dyDescent="0.3">
      <c r="A28">
        <v>0.125</v>
      </c>
      <c r="B28">
        <v>680.88</v>
      </c>
      <c r="C28">
        <f t="shared" si="0"/>
        <v>-1.5410526315787365</v>
      </c>
      <c r="D28">
        <f t="shared" si="1"/>
        <v>-1.0537465293844012E-4</v>
      </c>
      <c r="E28">
        <f t="shared" si="2"/>
        <v>-4.083527880607143E-4</v>
      </c>
      <c r="F28">
        <f t="shared" si="3"/>
        <v>-2.6654103279708807E-5</v>
      </c>
      <c r="G28">
        <f t="shared" si="4"/>
        <v>-0.27803924633477917</v>
      </c>
    </row>
    <row r="29" spans="1:7" x14ac:dyDescent="0.3">
      <c r="A29">
        <v>0.13</v>
      </c>
      <c r="B29">
        <v>680.96</v>
      </c>
      <c r="C29">
        <f t="shared" si="0"/>
        <v>-1.4610526315786956</v>
      </c>
      <c r="D29">
        <f t="shared" si="1"/>
        <v>-1.0789032855157989E-4</v>
      </c>
      <c r="E29">
        <f t="shared" si="2"/>
        <v>-5.1624311661229415E-4</v>
      </c>
      <c r="F29">
        <f t="shared" si="3"/>
        <v>-2.8965593041391329E-5</v>
      </c>
      <c r="G29">
        <f t="shared" si="4"/>
        <v>-0.35154091268830784</v>
      </c>
    </row>
    <row r="30" spans="1:7" x14ac:dyDescent="0.3">
      <c r="A30">
        <v>0.13500000000000001</v>
      </c>
      <c r="B30">
        <v>681.07</v>
      </c>
      <c r="C30">
        <f t="shared" si="0"/>
        <v>-1.3510526315786819</v>
      </c>
      <c r="D30">
        <f t="shared" si="1"/>
        <v>-1.0106206617304946E-4</v>
      </c>
      <c r="E30">
        <f t="shared" si="2"/>
        <v>-6.1730518278534357E-4</v>
      </c>
      <c r="F30">
        <f t="shared" si="3"/>
        <v>-3.1799463789885421E-5</v>
      </c>
      <c r="G30">
        <f t="shared" si="4"/>
        <v>-0.42042804083961399</v>
      </c>
    </row>
    <row r="31" spans="1:7" x14ac:dyDescent="0.3">
      <c r="A31">
        <v>0.14000000000000001</v>
      </c>
      <c r="B31">
        <v>681.03</v>
      </c>
      <c r="C31">
        <f t="shared" si="0"/>
        <v>-1.3910526315787592</v>
      </c>
      <c r="D31">
        <f t="shared" si="1"/>
        <v>-9.8546390559909691E-5</v>
      </c>
      <c r="E31">
        <f t="shared" si="2"/>
        <v>-7.1585157334525321E-4</v>
      </c>
      <c r="F31">
        <f t="shared" si="3"/>
        <v>-3.5132355680211915E-5</v>
      </c>
      <c r="G31">
        <f t="shared" si="4"/>
        <v>-0.48751639699531779</v>
      </c>
    </row>
    <row r="32" spans="1:7" x14ac:dyDescent="0.3">
      <c r="A32">
        <v>0.14499999999999999</v>
      </c>
      <c r="B32">
        <v>681.31</v>
      </c>
      <c r="C32">
        <f t="shared" si="0"/>
        <v>-1.1110526315787865</v>
      </c>
      <c r="D32">
        <f t="shared" si="1"/>
        <v>-8.9921217029140639E-5</v>
      </c>
      <c r="E32">
        <f t="shared" si="2"/>
        <v>-8.0577279037439382E-4</v>
      </c>
      <c r="F32">
        <f t="shared" si="3"/>
        <v>-3.8936416589511031E-5</v>
      </c>
      <c r="G32">
        <f t="shared" si="4"/>
        <v>-0.54898105980997824</v>
      </c>
    </row>
    <row r="33" spans="1:7" x14ac:dyDescent="0.3">
      <c r="A33">
        <v>0.15</v>
      </c>
      <c r="B33">
        <v>681.71</v>
      </c>
      <c r="C33">
        <f t="shared" si="0"/>
        <v>-0.71105263157869558</v>
      </c>
      <c r="D33">
        <f t="shared" si="1"/>
        <v>-6.5483225358615446E-5</v>
      </c>
      <c r="E33">
        <f t="shared" si="2"/>
        <v>-8.7125601573300924E-4</v>
      </c>
      <c r="F33">
        <f t="shared" si="3"/>
        <v>-4.3128988604779539E-5</v>
      </c>
      <c r="G33">
        <f t="shared" si="4"/>
        <v>-0.59394393848534976</v>
      </c>
    </row>
    <row r="34" spans="1:7" x14ac:dyDescent="0.3">
      <c r="A34">
        <v>0.155</v>
      </c>
      <c r="B34">
        <v>681.71</v>
      </c>
      <c r="C34">
        <f t="shared" si="0"/>
        <v>-0.71105263157869558</v>
      </c>
      <c r="D34">
        <f t="shared" si="1"/>
        <v>-5.110793614065753E-5</v>
      </c>
      <c r="E34">
        <f t="shared" si="2"/>
        <v>-9.2236395187366674E-4</v>
      </c>
      <c r="F34">
        <f t="shared" si="3"/>
        <v>-4.7613038523796227E-5</v>
      </c>
      <c r="G34">
        <f t="shared" si="4"/>
        <v>-0.62878472963179743</v>
      </c>
    </row>
    <row r="35" spans="1:7" x14ac:dyDescent="0.3">
      <c r="A35">
        <v>0.16</v>
      </c>
      <c r="B35">
        <v>681.95</v>
      </c>
      <c r="C35">
        <f t="shared" si="0"/>
        <v>-0.47105263157868649</v>
      </c>
      <c r="D35">
        <f t="shared" si="1"/>
        <v>-4.2482762609884405E-5</v>
      </c>
      <c r="E35">
        <f t="shared" si="2"/>
        <v>-9.648467144835511E-4</v>
      </c>
      <c r="F35">
        <f t="shared" si="3"/>
        <v>-5.233106518968927E-5</v>
      </c>
      <c r="G35">
        <f t="shared" si="4"/>
        <v>-0.65797721694205769</v>
      </c>
    </row>
    <row r="36" spans="1:7" x14ac:dyDescent="0.3">
      <c r="A36">
        <v>0.16500000000000001</v>
      </c>
      <c r="B36">
        <v>682.63</v>
      </c>
      <c r="C36">
        <f t="shared" si="0"/>
        <v>0.20894736842126349</v>
      </c>
      <c r="D36">
        <f t="shared" si="1"/>
        <v>-9.4195974085901748E-6</v>
      </c>
      <c r="E36">
        <f t="shared" si="2"/>
        <v>-9.7426631189214124E-4</v>
      </c>
      <c r="F36">
        <f t="shared" si="3"/>
        <v>-5.7178847755628501E-5</v>
      </c>
      <c r="G36">
        <f t="shared" si="4"/>
        <v>-0.66506341248693235</v>
      </c>
    </row>
    <row r="37" spans="1:7" x14ac:dyDescent="0.3">
      <c r="A37">
        <v>0.17</v>
      </c>
      <c r="B37">
        <v>683.3</v>
      </c>
      <c r="C37">
        <f t="shared" si="0"/>
        <v>0.87894736842122256</v>
      </c>
      <c r="D37">
        <f t="shared" si="1"/>
        <v>3.9097003702003516E-5</v>
      </c>
      <c r="E37">
        <f t="shared" si="2"/>
        <v>-9.3516930819013771E-4</v>
      </c>
      <c r="F37">
        <f t="shared" si="3"/>
        <v>-6.1952436805834198E-5</v>
      </c>
      <c r="G37">
        <f t="shared" si="4"/>
        <v>-0.63900118828632102</v>
      </c>
    </row>
    <row r="38" spans="1:7" x14ac:dyDescent="0.3">
      <c r="A38">
        <v>0.17499999999999999</v>
      </c>
      <c r="B38">
        <v>684.37</v>
      </c>
      <c r="C38">
        <f t="shared" si="0"/>
        <v>1.9489473684212726</v>
      </c>
      <c r="D38">
        <f t="shared" si="1"/>
        <v>1.0162951180010659E-4</v>
      </c>
      <c r="E38">
        <f t="shared" si="2"/>
        <v>-8.3353979639003107E-4</v>
      </c>
      <c r="F38">
        <f t="shared" si="3"/>
        <v>-6.6374209567284626E-5</v>
      </c>
      <c r="G38">
        <f t="shared" si="4"/>
        <v>-0.57044963045544561</v>
      </c>
    </row>
    <row r="39" spans="1:7" x14ac:dyDescent="0.3">
      <c r="A39">
        <v>0.18</v>
      </c>
      <c r="B39">
        <v>685.07</v>
      </c>
      <c r="C39">
        <f t="shared" si="0"/>
        <v>2.6489473684213181</v>
      </c>
      <c r="D39">
        <f t="shared" si="1"/>
        <v>1.6524016658955938E-4</v>
      </c>
      <c r="E39">
        <f t="shared" si="2"/>
        <v>-6.6829962980047167E-4</v>
      </c>
      <c r="F39">
        <f t="shared" si="3"/>
        <v>-7.0128808132760882E-5</v>
      </c>
      <c r="G39">
        <f t="shared" si="4"/>
        <v>-0.45783202738740914</v>
      </c>
    </row>
    <row r="40" spans="1:7" x14ac:dyDescent="0.3">
      <c r="A40">
        <v>0.185</v>
      </c>
      <c r="B40">
        <v>685.31</v>
      </c>
      <c r="C40">
        <f t="shared" si="0"/>
        <v>2.8889473684212135</v>
      </c>
      <c r="D40">
        <f t="shared" si="1"/>
        <v>1.9902209625175069E-4</v>
      </c>
      <c r="E40">
        <f t="shared" si="2"/>
        <v>-4.6927753354872098E-4</v>
      </c>
      <c r="F40">
        <f t="shared" si="3"/>
        <v>-7.2972751041133858E-5</v>
      </c>
      <c r="G40">
        <f t="shared" si="4"/>
        <v>-0.32160058651627393</v>
      </c>
    </row>
    <row r="41" spans="1:7" x14ac:dyDescent="0.3">
      <c r="A41">
        <v>0.19</v>
      </c>
      <c r="B41">
        <v>685.36</v>
      </c>
      <c r="C41">
        <f t="shared" si="0"/>
        <v>2.9389473684212817</v>
      </c>
      <c r="D41">
        <f t="shared" si="1"/>
        <v>2.094441809347665E-4</v>
      </c>
      <c r="E41">
        <f t="shared" si="2"/>
        <v>-2.5983335261395448E-4</v>
      </c>
      <c r="F41">
        <f t="shared" si="3"/>
        <v>-7.4795528256540553E-5</v>
      </c>
      <c r="G41">
        <f t="shared" si="4"/>
        <v>-0.17807938654749986</v>
      </c>
    </row>
    <row r="42" spans="1:7" x14ac:dyDescent="0.3">
      <c r="A42">
        <v>0.19500000000000001</v>
      </c>
      <c r="B42">
        <v>684.87</v>
      </c>
      <c r="C42">
        <f t="shared" si="0"/>
        <v>2.4489473684212726</v>
      </c>
      <c r="D42">
        <f t="shared" si="1"/>
        <v>1.9363136279501849E-4</v>
      </c>
      <c r="E42">
        <f t="shared" si="2"/>
        <v>-6.6201989818935988E-5</v>
      </c>
      <c r="F42">
        <f t="shared" si="3"/>
        <v>-7.5610616612622781E-5</v>
      </c>
      <c r="G42">
        <f t="shared" si="4"/>
        <v>-4.5339756767294688E-2</v>
      </c>
    </row>
    <row r="43" spans="1:7" x14ac:dyDescent="0.3">
      <c r="A43">
        <v>0.2</v>
      </c>
      <c r="B43">
        <v>685.33</v>
      </c>
      <c r="C43">
        <f t="shared" si="0"/>
        <v>2.908947368421309</v>
      </c>
      <c r="D43">
        <f t="shared" si="1"/>
        <v>1.9255321610367286E-4</v>
      </c>
      <c r="E43">
        <f t="shared" si="2"/>
        <v>1.2635122628473688E-4</v>
      </c>
      <c r="F43">
        <f t="shared" si="3"/>
        <v>-7.5460243521458274E-5</v>
      </c>
      <c r="G43">
        <f t="shared" si="4"/>
        <v>8.6592285909718722E-2</v>
      </c>
    </row>
    <row r="44" spans="1:7" x14ac:dyDescent="0.3">
      <c r="A44">
        <v>0.20499999999999999</v>
      </c>
      <c r="B44">
        <v>684.98</v>
      </c>
      <c r="C44">
        <f t="shared" si="0"/>
        <v>2.5589473684212862</v>
      </c>
      <c r="D44">
        <f t="shared" si="1"/>
        <v>1.965064206386109E-4</v>
      </c>
      <c r="E44">
        <f t="shared" si="2"/>
        <v>3.2285764692334775E-4</v>
      </c>
      <c r="F44">
        <f t="shared" si="3"/>
        <v>-7.433722133843806E-5</v>
      </c>
      <c r="G44">
        <f t="shared" si="4"/>
        <v>0.22115103098955474</v>
      </c>
    </row>
    <row r="45" spans="1:7" x14ac:dyDescent="0.3">
      <c r="A45">
        <v>0.21</v>
      </c>
      <c r="B45">
        <v>684.43</v>
      </c>
      <c r="C45">
        <f t="shared" si="0"/>
        <v>2.008947368421218</v>
      </c>
      <c r="D45">
        <f t="shared" si="1"/>
        <v>1.6416201989820966E-4</v>
      </c>
      <c r="E45">
        <f t="shared" si="2"/>
        <v>4.8701966682155738E-4</v>
      </c>
      <c r="F45">
        <f t="shared" si="3"/>
        <v>-7.2312528054075802E-5</v>
      </c>
      <c r="G45">
        <f t="shared" si="4"/>
        <v>0.33333087056267852</v>
      </c>
    </row>
    <row r="46" spans="1:7" x14ac:dyDescent="0.3">
      <c r="A46">
        <v>0.215</v>
      </c>
      <c r="B46">
        <v>684.67</v>
      </c>
      <c r="C46">
        <f t="shared" si="0"/>
        <v>2.2489473684212271</v>
      </c>
      <c r="D46">
        <f t="shared" si="1"/>
        <v>1.5302117075429269E-4</v>
      </c>
      <c r="E46">
        <f t="shared" si="2"/>
        <v>6.4004083757585007E-4</v>
      </c>
      <c r="F46">
        <f t="shared" si="3"/>
        <v>-6.949487679308228E-5</v>
      </c>
      <c r="G46">
        <f t="shared" si="4"/>
        <v>0.43821676026305723</v>
      </c>
    </row>
    <row r="47" spans="1:7" x14ac:dyDescent="0.3">
      <c r="A47">
        <v>0.22</v>
      </c>
      <c r="B47">
        <v>684.2</v>
      </c>
      <c r="C47">
        <f t="shared" si="0"/>
        <v>1.7789473684213135</v>
      </c>
      <c r="D47">
        <f t="shared" si="1"/>
        <v>1.4475537945397217E-4</v>
      </c>
      <c r="E47">
        <f t="shared" si="2"/>
        <v>7.8479621702982221E-4</v>
      </c>
      <c r="F47">
        <f t="shared" si="3"/>
        <v>-6.5932784156568094E-5</v>
      </c>
      <c r="G47">
        <f t="shared" si="4"/>
        <v>0.53695757169180436</v>
      </c>
    </row>
    <row r="48" spans="1:7" x14ac:dyDescent="0.3">
      <c r="A48">
        <v>0.22500000000000001</v>
      </c>
      <c r="B48">
        <v>683.76</v>
      </c>
      <c r="C48">
        <f t="shared" si="0"/>
        <v>1.3389473684212589</v>
      </c>
      <c r="D48">
        <f t="shared" si="1"/>
        <v>1.120515964831265E-4</v>
      </c>
      <c r="E48">
        <f t="shared" si="2"/>
        <v>8.9684781351294872E-4</v>
      </c>
      <c r="F48">
        <f t="shared" si="3"/>
        <v>-6.1728674080211167E-5</v>
      </c>
      <c r="G48">
        <f t="shared" si="4"/>
        <v>0.61322866096761386</v>
      </c>
    </row>
    <row r="49" spans="1:7" x14ac:dyDescent="0.3">
      <c r="A49">
        <v>0.23</v>
      </c>
      <c r="B49">
        <v>682.72</v>
      </c>
      <c r="C49">
        <f t="shared" si="0"/>
        <v>0.29894736842129532</v>
      </c>
      <c r="D49">
        <f t="shared" si="1"/>
        <v>5.8863026376693617E-5</v>
      </c>
      <c r="E49">
        <f t="shared" si="2"/>
        <v>9.5571083988964234E-4</v>
      </c>
      <c r="F49">
        <f t="shared" si="3"/>
        <v>-5.7097277446704688E-5</v>
      </c>
      <c r="G49">
        <f t="shared" si="4"/>
        <v>0.65248290460945668</v>
      </c>
    </row>
    <row r="50" spans="1:7" x14ac:dyDescent="0.3">
      <c r="A50">
        <v>0.23499999999999999</v>
      </c>
      <c r="B50">
        <v>681.29</v>
      </c>
      <c r="C50">
        <f t="shared" si="0"/>
        <v>-1.1310526315787683</v>
      </c>
      <c r="D50">
        <f t="shared" si="1"/>
        <v>-2.9904384544177354E-5</v>
      </c>
      <c r="E50">
        <f t="shared" si="2"/>
        <v>9.2580645534546494E-4</v>
      </c>
      <c r="F50">
        <f t="shared" si="3"/>
        <v>-5.2393484208616919E-5</v>
      </c>
      <c r="G50">
        <f t="shared" si="4"/>
        <v>0.63074267996231181</v>
      </c>
    </row>
    <row r="51" spans="1:7" x14ac:dyDescent="0.3">
      <c r="A51">
        <v>0.24</v>
      </c>
      <c r="B51">
        <v>681.07</v>
      </c>
      <c r="C51">
        <f t="shared" si="0"/>
        <v>-1.3510526315786819</v>
      </c>
      <c r="D51">
        <f t="shared" si="1"/>
        <v>-8.920245256823948E-5</v>
      </c>
      <c r="E51">
        <f t="shared" si="2"/>
        <v>8.366040027772254E-4</v>
      </c>
      <c r="F51">
        <f t="shared" si="3"/>
        <v>-4.7987458063310196E-5</v>
      </c>
      <c r="G51">
        <f t="shared" si="4"/>
        <v>0.5697858881714849</v>
      </c>
    </row>
    <row r="52" spans="1:7" x14ac:dyDescent="0.3">
      <c r="A52">
        <v>0.245</v>
      </c>
      <c r="B52">
        <v>681.19</v>
      </c>
      <c r="C52">
        <f t="shared" si="0"/>
        <v>-1.2310526315786774</v>
      </c>
      <c r="D52">
        <f t="shared" si="1"/>
        <v>-9.279627487272488E-5</v>
      </c>
      <c r="E52">
        <f t="shared" si="2"/>
        <v>7.4380772790450054E-4</v>
      </c>
      <c r="F52">
        <f t="shared" si="3"/>
        <v>-4.4036428736605879E-5</v>
      </c>
      <c r="G52">
        <f t="shared" si="4"/>
        <v>0.50667438617126681</v>
      </c>
    </row>
    <row r="53" spans="1:7" x14ac:dyDescent="0.3">
      <c r="A53">
        <v>0.25</v>
      </c>
      <c r="B53">
        <v>681.53</v>
      </c>
      <c r="C53">
        <f t="shared" si="0"/>
        <v>-0.89105263157875925</v>
      </c>
      <c r="D53">
        <f t="shared" si="1"/>
        <v>-7.6264692272079803E-5</v>
      </c>
      <c r="E53">
        <f t="shared" si="2"/>
        <v>6.6754303563242078E-4</v>
      </c>
      <c r="F53">
        <f t="shared" si="3"/>
        <v>-4.0508051827763576E-5</v>
      </c>
      <c r="G53">
        <f t="shared" si="4"/>
        <v>0.4549506050745637</v>
      </c>
    </row>
    <row r="54" spans="1:7" x14ac:dyDescent="0.3">
      <c r="A54">
        <v>0.255</v>
      </c>
      <c r="B54">
        <v>682.29</v>
      </c>
      <c r="C54">
        <f t="shared" si="0"/>
        <v>-0.13105263157876834</v>
      </c>
      <c r="D54">
        <f t="shared" si="1"/>
        <v>-3.6732646922707772E-5</v>
      </c>
      <c r="E54">
        <f t="shared" si="2"/>
        <v>6.3081038870971295E-4</v>
      </c>
      <c r="F54">
        <f t="shared" si="3"/>
        <v>-3.7262168266908243E-5</v>
      </c>
      <c r="G54">
        <f t="shared" si="4"/>
        <v>0.43039562011275001</v>
      </c>
    </row>
    <row r="55" spans="1:7" x14ac:dyDescent="0.3">
      <c r="A55">
        <v>0.26</v>
      </c>
      <c r="B55">
        <v>682.86</v>
      </c>
      <c r="C55">
        <f t="shared" si="0"/>
        <v>0.43894736842128168</v>
      </c>
      <c r="D55">
        <f t="shared" si="1"/>
        <v>1.1065189726992919E-5</v>
      </c>
      <c r="E55">
        <f t="shared" si="2"/>
        <v>6.4187557843670584E-4</v>
      </c>
      <c r="F55">
        <f t="shared" si="3"/>
        <v>-3.4080453349042198E-5</v>
      </c>
      <c r="G55">
        <f t="shared" si="4"/>
        <v>0.43831115749128896</v>
      </c>
    </row>
    <row r="56" spans="1:7" x14ac:dyDescent="0.3">
      <c r="A56">
        <v>0.26500000000000001</v>
      </c>
      <c r="B56">
        <v>683.02</v>
      </c>
      <c r="C56">
        <f t="shared" si="0"/>
        <v>0.59894736842124985</v>
      </c>
      <c r="D56">
        <f t="shared" si="1"/>
        <v>3.7300092549760816E-5</v>
      </c>
      <c r="E56">
        <f t="shared" si="2"/>
        <v>6.7917567098646665E-4</v>
      </c>
      <c r="F56">
        <f t="shared" si="3"/>
        <v>-3.0777825225484267E-5</v>
      </c>
      <c r="G56">
        <f t="shared" si="4"/>
        <v>0.46389056679717644</v>
      </c>
    </row>
    <row r="57" spans="1:7" x14ac:dyDescent="0.3">
      <c r="A57">
        <v>0.27</v>
      </c>
      <c r="B57">
        <v>682.28</v>
      </c>
      <c r="C57">
        <f t="shared" si="0"/>
        <v>-0.14105263157875925</v>
      </c>
      <c r="D57">
        <f t="shared" si="1"/>
        <v>1.6455923183725098E-5</v>
      </c>
      <c r="E57">
        <f t="shared" si="2"/>
        <v>6.9563159417019172E-4</v>
      </c>
      <c r="F57">
        <f t="shared" si="3"/>
        <v>-2.7340807062592621E-5</v>
      </c>
      <c r="G57">
        <f t="shared" si="4"/>
        <v>0.47461552407043839</v>
      </c>
    </row>
    <row r="58" spans="1:7" x14ac:dyDescent="0.3">
      <c r="A58">
        <v>0.27500000000000002</v>
      </c>
      <c r="B58">
        <v>680.93</v>
      </c>
      <c r="C58">
        <f t="shared" si="0"/>
        <v>-1.491052631578782</v>
      </c>
      <c r="D58">
        <f t="shared" si="1"/>
        <v>-5.8654962980089114E-5</v>
      </c>
      <c r="E58">
        <f t="shared" si="2"/>
        <v>6.3697663119010261E-4</v>
      </c>
      <c r="F58">
        <f t="shared" si="3"/>
        <v>-2.4009286499191884E-5</v>
      </c>
      <c r="G58">
        <f t="shared" si="4"/>
        <v>0.43373649747627652</v>
      </c>
    </row>
    <row r="59" spans="1:7" x14ac:dyDescent="0.3">
      <c r="A59">
        <v>0.28000000000000003</v>
      </c>
      <c r="B59">
        <v>679.55</v>
      </c>
      <c r="C59">
        <f t="shared" si="0"/>
        <v>-2.8710526315787774</v>
      </c>
      <c r="D59">
        <f t="shared" si="1"/>
        <v>-1.5676631189263029E-4</v>
      </c>
      <c r="E59">
        <f t="shared" si="2"/>
        <v>4.8021031929747232E-4</v>
      </c>
      <c r="F59">
        <f t="shared" si="3"/>
        <v>-2.1216319122972945E-5</v>
      </c>
      <c r="G59">
        <f t="shared" si="4"/>
        <v>0.32632692247859729</v>
      </c>
    </row>
    <row r="60" spans="1:7" x14ac:dyDescent="0.3">
      <c r="A60">
        <v>0.28499999999999998</v>
      </c>
      <c r="B60">
        <v>676.27</v>
      </c>
      <c r="C60">
        <f t="shared" si="0"/>
        <v>-6.1510526315787502</v>
      </c>
      <c r="D60">
        <f t="shared" si="1"/>
        <v>-3.2423843128180088E-4</v>
      </c>
      <c r="E60">
        <f t="shared" si="2"/>
        <v>1.5597188801567144E-4</v>
      </c>
      <c r="F60">
        <f t="shared" si="3"/>
        <v>-1.9625863604690085E-5</v>
      </c>
      <c r="G60">
        <f t="shared" si="4"/>
        <v>0.10547910870835812</v>
      </c>
    </row>
    <row r="61" spans="1:7" x14ac:dyDescent="0.3">
      <c r="A61">
        <v>0.28999999999999998</v>
      </c>
      <c r="B61">
        <v>674.91</v>
      </c>
      <c r="C61">
        <f t="shared" si="0"/>
        <v>-7.5110526315787638</v>
      </c>
      <c r="D61">
        <f t="shared" si="1"/>
        <v>-4.9099178621007434E-4</v>
      </c>
      <c r="E61">
        <f t="shared" si="2"/>
        <v>-3.350198981944029E-4</v>
      </c>
      <c r="F61">
        <f t="shared" si="3"/>
        <v>-2.0073483630136914E-5</v>
      </c>
      <c r="G61">
        <f t="shared" si="4"/>
        <v>-0.22610827949038445</v>
      </c>
    </row>
    <row r="62" spans="1:7" x14ac:dyDescent="0.3">
      <c r="A62">
        <v>0.29499999999999998</v>
      </c>
      <c r="B62">
        <v>670.33</v>
      </c>
      <c r="C62">
        <f t="shared" si="0"/>
        <v>-12.091052631578691</v>
      </c>
      <c r="D62">
        <f t="shared" si="1"/>
        <v>-7.0446483109669886E-4</v>
      </c>
      <c r="E62">
        <f t="shared" si="2"/>
        <v>-1.0394847292911017E-3</v>
      </c>
      <c r="F62">
        <f t="shared" si="3"/>
        <v>-2.3509745198850674E-5</v>
      </c>
      <c r="G62">
        <f t="shared" si="4"/>
        <v>-0.69679779858570423</v>
      </c>
    </row>
    <row r="63" spans="1:7" x14ac:dyDescent="0.3">
      <c r="A63">
        <v>0.3</v>
      </c>
      <c r="B63">
        <v>665.84</v>
      </c>
      <c r="C63">
        <f t="shared" si="0"/>
        <v>-16.5810526315787</v>
      </c>
      <c r="D63">
        <f t="shared" si="1"/>
        <v>-1.0304245141138182E-3</v>
      </c>
      <c r="E63">
        <f t="shared" si="2"/>
        <v>-2.0699092434049199E-3</v>
      </c>
      <c r="F63">
        <f t="shared" si="3"/>
        <v>-3.128323013059073E-5</v>
      </c>
      <c r="G63">
        <f t="shared" si="4"/>
        <v>-1.3782283706287319</v>
      </c>
    </row>
    <row r="64" spans="1:7" x14ac:dyDescent="0.3">
      <c r="A64">
        <v>0.30499999999999999</v>
      </c>
      <c r="B64">
        <v>662.25</v>
      </c>
      <c r="C64">
        <f t="shared" si="0"/>
        <v>-20.171052631578732</v>
      </c>
      <c r="D64">
        <f t="shared" si="1"/>
        <v>-1.3208053563165036E-3</v>
      </c>
      <c r="E64">
        <f t="shared" si="2"/>
        <v>-3.3907145997214235E-3</v>
      </c>
      <c r="F64">
        <f t="shared" si="3"/>
        <v>-4.4934789738406588E-5</v>
      </c>
      <c r="G64">
        <f t="shared" si="4"/>
        <v>-2.2455007436655126</v>
      </c>
    </row>
    <row r="65" spans="1:7" x14ac:dyDescent="0.3">
      <c r="A65">
        <v>0.31</v>
      </c>
      <c r="B65">
        <v>656.96</v>
      </c>
      <c r="C65">
        <f t="shared" si="0"/>
        <v>-25.461052631578696</v>
      </c>
      <c r="D65">
        <f t="shared" si="1"/>
        <v>-1.6399367769550969E-3</v>
      </c>
      <c r="E65">
        <f t="shared" si="2"/>
        <v>-5.0306513766765204E-3</v>
      </c>
      <c r="F65">
        <f t="shared" si="3"/>
        <v>-6.5988204679401445E-5</v>
      </c>
      <c r="G65">
        <f t="shared" si="4"/>
        <v>-3.3049367284214068</v>
      </c>
    </row>
    <row r="66" spans="1:7" x14ac:dyDescent="0.3">
      <c r="A66">
        <v>0.315</v>
      </c>
      <c r="B66">
        <v>653.69000000000005</v>
      </c>
      <c r="C66">
        <f t="shared" si="0"/>
        <v>-28.731052631578677</v>
      </c>
      <c r="D66">
        <f t="shared" si="1"/>
        <v>-1.9475679662193247E-3</v>
      </c>
      <c r="E66">
        <f t="shared" si="2"/>
        <v>-6.9782193428958453E-3</v>
      </c>
      <c r="F66">
        <f t="shared" si="3"/>
        <v>-9.6010381478332359E-5</v>
      </c>
      <c r="G66">
        <f t="shared" si="4"/>
        <v>-4.5615922022575859</v>
      </c>
    </row>
    <row r="67" spans="1:7" x14ac:dyDescent="0.3">
      <c r="A67">
        <v>0.32</v>
      </c>
      <c r="B67">
        <v>650.11</v>
      </c>
      <c r="C67">
        <f t="shared" si="0"/>
        <v>-32.311052631578718</v>
      </c>
      <c r="D67">
        <f t="shared" si="1"/>
        <v>-2.1937447940767987E-3</v>
      </c>
      <c r="E67">
        <f t="shared" si="2"/>
        <v>-9.1719641369726445E-3</v>
      </c>
      <c r="F67">
        <f t="shared" si="3"/>
        <v>-1.363858401780036E-4</v>
      </c>
      <c r="G67">
        <f t="shared" si="4"/>
        <v>-5.9627856050872863</v>
      </c>
    </row>
    <row r="68" spans="1:7" x14ac:dyDescent="0.3">
      <c r="A68">
        <v>0.32500000000000001</v>
      </c>
      <c r="B68">
        <v>645.34</v>
      </c>
      <c r="C68">
        <f t="shared" ref="C68:C131" si="5">B68+$C$1</f>
        <v>-37.0810526315787</v>
      </c>
      <c r="D68">
        <f t="shared" si="1"/>
        <v>-2.4938289565016032E-3</v>
      </c>
      <c r="E68">
        <f t="shared" si="2"/>
        <v>-1.1665793093474248E-2</v>
      </c>
      <c r="F68">
        <f t="shared" si="3"/>
        <v>-1.8848023325412084E-4</v>
      </c>
      <c r="G68">
        <f t="shared" si="4"/>
        <v>-7.5284029149426717</v>
      </c>
    </row>
    <row r="69" spans="1:7" x14ac:dyDescent="0.3">
      <c r="A69">
        <v>0.33</v>
      </c>
      <c r="B69">
        <v>643.25</v>
      </c>
      <c r="C69">
        <f t="shared" si="5"/>
        <v>-39.171052631578732</v>
      </c>
      <c r="D69">
        <f t="shared" ref="D69:D132" si="6">1/$E$1*(C68+C69)*0.005/2</f>
        <v>-2.7403651665895258E-3</v>
      </c>
      <c r="E69">
        <f t="shared" ref="E69:E132" si="7">E68+D69</f>
        <v>-1.4406158260063775E-2</v>
      </c>
      <c r="F69">
        <f t="shared" ref="F69:F132" si="8">F68+(E68+E69)*0.005/2</f>
        <v>-2.5366011163796586E-4</v>
      </c>
      <c r="G69">
        <f t="shared" ref="G69:G132" si="9">B69*E69</f>
        <v>-9.2667613007860226</v>
      </c>
    </row>
    <row r="70" spans="1:7" x14ac:dyDescent="0.3">
      <c r="A70">
        <v>0.33500000000000002</v>
      </c>
      <c r="B70">
        <v>641.30999999999995</v>
      </c>
      <c r="C70">
        <f t="shared" si="5"/>
        <v>-41.111052631578787</v>
      </c>
      <c r="D70">
        <f t="shared" si="6"/>
        <v>-2.8851962054604221E-3</v>
      </c>
      <c r="E70">
        <f t="shared" si="7"/>
        <v>-1.7291354465524197E-2</v>
      </c>
      <c r="F70">
        <f t="shared" si="8"/>
        <v>-3.3290389345193581E-4</v>
      </c>
      <c r="G70">
        <f t="shared" si="9"/>
        <v>-11.089118532285323</v>
      </c>
    </row>
    <row r="71" spans="1:7" x14ac:dyDescent="0.3">
      <c r="A71">
        <v>0.34</v>
      </c>
      <c r="B71">
        <v>639.16</v>
      </c>
      <c r="C71">
        <f t="shared" si="5"/>
        <v>-43.261052631578764</v>
      </c>
      <c r="D71">
        <f t="shared" si="6"/>
        <v>-3.0321835377140095E-3</v>
      </c>
      <c r="E71">
        <f t="shared" si="7"/>
        <v>-2.0323538003238207E-2</v>
      </c>
      <c r="F71">
        <f t="shared" si="8"/>
        <v>-4.2694112462384181E-4</v>
      </c>
      <c r="G71">
        <f t="shared" si="9"/>
        <v>-12.989992550149731</v>
      </c>
    </row>
    <row r="72" spans="1:7" x14ac:dyDescent="0.3">
      <c r="A72">
        <v>0.34499999999999997</v>
      </c>
      <c r="B72">
        <v>639.87</v>
      </c>
      <c r="C72">
        <f t="shared" si="5"/>
        <v>-42.551052631578727</v>
      </c>
      <c r="D72">
        <f t="shared" si="6"/>
        <v>-3.0839345788986443E-3</v>
      </c>
      <c r="E72">
        <f t="shared" si="7"/>
        <v>-2.3407472582136851E-2</v>
      </c>
      <c r="F72">
        <f t="shared" si="8"/>
        <v>-5.3626865108727948E-4</v>
      </c>
      <c r="G72">
        <f t="shared" si="9"/>
        <v>-14.977739481131907</v>
      </c>
    </row>
    <row r="73" spans="1:7" x14ac:dyDescent="0.3">
      <c r="A73">
        <v>0.35</v>
      </c>
      <c r="B73">
        <v>635.02</v>
      </c>
      <c r="C73">
        <f t="shared" si="5"/>
        <v>-47.40105263157875</v>
      </c>
      <c r="D73">
        <f t="shared" si="6"/>
        <v>-3.2327188223044744E-3</v>
      </c>
      <c r="E73">
        <f t="shared" si="7"/>
        <v>-2.6640191404441325E-2</v>
      </c>
      <c r="F73">
        <f t="shared" si="8"/>
        <v>-6.6138781105372487E-4</v>
      </c>
      <c r="G73">
        <f t="shared" si="9"/>
        <v>-16.917054345648328</v>
      </c>
    </row>
    <row r="74" spans="1:7" x14ac:dyDescent="0.3">
      <c r="A74">
        <v>0.35499999999999998</v>
      </c>
      <c r="B74">
        <v>628.41999999999996</v>
      </c>
      <c r="C74">
        <f t="shared" si="5"/>
        <v>-54.001052631578773</v>
      </c>
      <c r="D74">
        <f t="shared" si="6"/>
        <v>-3.6442114761684281E-3</v>
      </c>
      <c r="E74">
        <f t="shared" si="7"/>
        <v>-3.0284402880609754E-2</v>
      </c>
      <c r="F74">
        <f t="shared" si="8"/>
        <v>-8.0369929676635254E-4</v>
      </c>
      <c r="G74">
        <f t="shared" si="9"/>
        <v>-19.031324458232781</v>
      </c>
    </row>
    <row r="75" spans="1:7" x14ac:dyDescent="0.3">
      <c r="A75">
        <v>0.36</v>
      </c>
      <c r="B75">
        <v>619.27</v>
      </c>
      <c r="C75">
        <f t="shared" si="5"/>
        <v>-63.15105263157875</v>
      </c>
      <c r="D75">
        <f t="shared" si="6"/>
        <v>-4.2102384891253928E-3</v>
      </c>
      <c r="E75">
        <f t="shared" si="7"/>
        <v>-3.4494641369735145E-2</v>
      </c>
      <c r="F75">
        <f t="shared" si="8"/>
        <v>-9.6564690739221477E-4</v>
      </c>
      <c r="G75">
        <f t="shared" si="9"/>
        <v>-21.361496561035882</v>
      </c>
    </row>
    <row r="76" spans="1:7" x14ac:dyDescent="0.3">
      <c r="A76">
        <v>0.36499999999999999</v>
      </c>
      <c r="B76">
        <v>608.25</v>
      </c>
      <c r="C76">
        <f t="shared" si="5"/>
        <v>-74.171052631578732</v>
      </c>
      <c r="D76">
        <f t="shared" si="6"/>
        <v>-4.9351124479407541E-3</v>
      </c>
      <c r="E76">
        <f t="shared" si="7"/>
        <v>-3.9429753817675897E-2</v>
      </c>
      <c r="F76">
        <f t="shared" si="8"/>
        <v>-1.1504578953607423E-3</v>
      </c>
      <c r="G76">
        <f t="shared" si="9"/>
        <v>-23.983147759601366</v>
      </c>
    </row>
    <row r="77" spans="1:7" x14ac:dyDescent="0.3">
      <c r="A77">
        <v>0.37</v>
      </c>
      <c r="B77">
        <v>595.57000000000005</v>
      </c>
      <c r="C77">
        <f t="shared" si="5"/>
        <v>-86.851052631578682</v>
      </c>
      <c r="D77">
        <f t="shared" si="6"/>
        <v>-5.786848334104565E-3</v>
      </c>
      <c r="E77">
        <f t="shared" si="7"/>
        <v>-4.5216602151780465E-2</v>
      </c>
      <c r="F77">
        <f t="shared" si="8"/>
        <v>-1.3620737852843832E-3</v>
      </c>
      <c r="G77">
        <f t="shared" si="9"/>
        <v>-26.929651743535892</v>
      </c>
    </row>
    <row r="78" spans="1:7" x14ac:dyDescent="0.3">
      <c r="A78">
        <v>0.375</v>
      </c>
      <c r="B78">
        <v>581.66999999999996</v>
      </c>
      <c r="C78">
        <f t="shared" si="5"/>
        <v>-100.75105263157877</v>
      </c>
      <c r="D78">
        <f t="shared" si="6"/>
        <v>-6.7420863026376532E-3</v>
      </c>
      <c r="E78">
        <f t="shared" si="7"/>
        <v>-5.1958688454418117E-2</v>
      </c>
      <c r="F78">
        <f t="shared" si="8"/>
        <v>-1.6050120117998797E-3</v>
      </c>
      <c r="G78">
        <f t="shared" si="9"/>
        <v>-30.222810313281386</v>
      </c>
    </row>
    <row r="79" spans="1:7" x14ac:dyDescent="0.3">
      <c r="A79">
        <v>0.38</v>
      </c>
      <c r="B79">
        <v>572.54</v>
      </c>
      <c r="C79">
        <f t="shared" si="5"/>
        <v>-109.88105263157877</v>
      </c>
      <c r="D79">
        <f t="shared" si="6"/>
        <v>-7.569743579361396E-3</v>
      </c>
      <c r="E79">
        <f t="shared" si="7"/>
        <v>-5.9528432033779513E-2</v>
      </c>
      <c r="F79">
        <f t="shared" si="8"/>
        <v>-1.8837298130203739E-3</v>
      </c>
      <c r="G79">
        <f t="shared" si="9"/>
        <v>-34.082408476620117</v>
      </c>
    </row>
    <row r="80" spans="1:7" x14ac:dyDescent="0.3">
      <c r="A80">
        <v>0.38500000000000001</v>
      </c>
      <c r="B80">
        <v>557.53</v>
      </c>
      <c r="C80">
        <f t="shared" si="5"/>
        <v>-124.89105263157876</v>
      </c>
      <c r="D80">
        <f t="shared" si="6"/>
        <v>-8.4372922836649586E-3</v>
      </c>
      <c r="E80">
        <f t="shared" si="7"/>
        <v>-6.7965724317444465E-2</v>
      </c>
      <c r="F80">
        <f t="shared" si="8"/>
        <v>-2.202465203898434E-3</v>
      </c>
      <c r="G80">
        <f t="shared" si="9"/>
        <v>-37.89293027870481</v>
      </c>
    </row>
    <row r="81" spans="1:7" x14ac:dyDescent="0.3">
      <c r="A81">
        <v>0.39</v>
      </c>
      <c r="B81">
        <v>541.71</v>
      </c>
      <c r="C81">
        <f t="shared" si="5"/>
        <v>-140.7110526315787</v>
      </c>
      <c r="D81">
        <f t="shared" si="6"/>
        <v>-9.5452677001388112E-3</v>
      </c>
      <c r="E81">
        <f t="shared" si="7"/>
        <v>-7.7510992017583269E-2</v>
      </c>
      <c r="F81">
        <f t="shared" si="8"/>
        <v>-2.5661569947360032E-3</v>
      </c>
      <c r="G81">
        <f t="shared" si="9"/>
        <v>-41.988479485845033</v>
      </c>
    </row>
    <row r="82" spans="1:7" x14ac:dyDescent="0.3">
      <c r="A82">
        <v>0.39500000000000002</v>
      </c>
      <c r="B82">
        <v>531.12</v>
      </c>
      <c r="C82">
        <f t="shared" si="5"/>
        <v>-151.30105263157873</v>
      </c>
      <c r="D82">
        <f t="shared" si="6"/>
        <v>-1.0494396170754266E-2</v>
      </c>
      <c r="E82">
        <f t="shared" si="7"/>
        <v>-8.800538818833753E-2</v>
      </c>
      <c r="F82">
        <f t="shared" si="8"/>
        <v>-2.9799479452508053E-3</v>
      </c>
      <c r="G82">
        <f t="shared" si="9"/>
        <v>-46.741421774589831</v>
      </c>
    </row>
    <row r="83" spans="1:7" x14ac:dyDescent="0.3">
      <c r="A83">
        <v>0.4</v>
      </c>
      <c r="B83">
        <v>515.35</v>
      </c>
      <c r="C83">
        <f t="shared" si="5"/>
        <v>-167.07105263157871</v>
      </c>
      <c r="D83">
        <f t="shared" si="6"/>
        <v>-1.1441727730217477E-2</v>
      </c>
      <c r="E83">
        <f t="shared" si="7"/>
        <v>-9.9447115918555012E-2</v>
      </c>
      <c r="F83">
        <f t="shared" si="8"/>
        <v>-3.4485792055180368E-3</v>
      </c>
      <c r="G83">
        <f t="shared" si="9"/>
        <v>-51.250071188627331</v>
      </c>
    </row>
    <row r="84" spans="1:7" x14ac:dyDescent="0.3">
      <c r="A84">
        <v>0.40500000000000003</v>
      </c>
      <c r="B84">
        <v>499.04</v>
      </c>
      <c r="C84">
        <f t="shared" si="5"/>
        <v>-183.38105263157871</v>
      </c>
      <c r="D84">
        <f t="shared" si="6"/>
        <v>-1.2594625925497441E-2</v>
      </c>
      <c r="E84">
        <f t="shared" si="7"/>
        <v>-0.11204174184405245</v>
      </c>
      <c r="F84">
        <f t="shared" si="8"/>
        <v>-3.9773013499245554E-3</v>
      </c>
      <c r="G84">
        <f t="shared" si="9"/>
        <v>-55.913310849855939</v>
      </c>
    </row>
    <row r="85" spans="1:7" x14ac:dyDescent="0.3">
      <c r="A85">
        <v>0.41</v>
      </c>
      <c r="B85">
        <v>483.11</v>
      </c>
      <c r="C85">
        <f t="shared" si="5"/>
        <v>-199.31105263157872</v>
      </c>
      <c r="D85">
        <f t="shared" si="6"/>
        <v>-1.3753274236464585E-2</v>
      </c>
      <c r="E85">
        <f t="shared" si="7"/>
        <v>-0.12579501608051705</v>
      </c>
      <c r="F85">
        <f t="shared" si="8"/>
        <v>-4.5718932447359794E-3</v>
      </c>
      <c r="G85">
        <f t="shared" si="9"/>
        <v>-60.772830218658591</v>
      </c>
    </row>
    <row r="86" spans="1:7" x14ac:dyDescent="0.3">
      <c r="A86">
        <v>0.41499999999999998</v>
      </c>
      <c r="B86">
        <v>474.05</v>
      </c>
      <c r="C86">
        <f t="shared" si="5"/>
        <v>-208.37105263157872</v>
      </c>
      <c r="D86">
        <f t="shared" si="6"/>
        <v>-1.4651370430356303E-2</v>
      </c>
      <c r="E86">
        <f t="shared" si="7"/>
        <v>-0.14044638651087335</v>
      </c>
      <c r="F86">
        <f t="shared" si="8"/>
        <v>-5.2374967512144556E-3</v>
      </c>
      <c r="G86">
        <f t="shared" si="9"/>
        <v>-66.578609525479507</v>
      </c>
    </row>
    <row r="87" spans="1:7" x14ac:dyDescent="0.3">
      <c r="A87">
        <v>0.42</v>
      </c>
      <c r="B87">
        <v>460.29</v>
      </c>
      <c r="C87">
        <f t="shared" si="5"/>
        <v>-222.13105263157871</v>
      </c>
      <c r="D87">
        <f t="shared" si="6"/>
        <v>-1.5471480680240617E-2</v>
      </c>
      <c r="E87">
        <f t="shared" si="7"/>
        <v>-0.15591786719111397</v>
      </c>
      <c r="F87">
        <f t="shared" si="8"/>
        <v>-5.9784073854694236E-3</v>
      </c>
      <c r="G87">
        <f t="shared" si="9"/>
        <v>-71.76743508939785</v>
      </c>
    </row>
    <row r="88" spans="1:7" x14ac:dyDescent="0.3">
      <c r="A88">
        <v>0.42499999999999999</v>
      </c>
      <c r="B88">
        <v>448.73</v>
      </c>
      <c r="C88">
        <f t="shared" si="5"/>
        <v>-233.69105263157871</v>
      </c>
      <c r="D88">
        <f t="shared" si="6"/>
        <v>-1.6381436487737145E-2</v>
      </c>
      <c r="E88">
        <f t="shared" si="7"/>
        <v>-0.17229930367885113</v>
      </c>
      <c r="F88">
        <f t="shared" si="8"/>
        <v>-6.7989503126443364E-3</v>
      </c>
      <c r="G88">
        <f t="shared" si="9"/>
        <v>-77.31586653981087</v>
      </c>
    </row>
    <row r="89" spans="1:7" x14ac:dyDescent="0.3">
      <c r="A89">
        <v>0.43</v>
      </c>
      <c r="B89">
        <v>441.7</v>
      </c>
      <c r="C89">
        <f t="shared" si="5"/>
        <v>-240.72105263157874</v>
      </c>
      <c r="D89">
        <f t="shared" si="6"/>
        <v>-1.7049528054141588E-2</v>
      </c>
      <c r="E89">
        <f t="shared" si="7"/>
        <v>-0.18934883173299272</v>
      </c>
      <c r="F89">
        <f t="shared" si="8"/>
        <v>-7.7030706511739457E-3</v>
      </c>
      <c r="G89">
        <f t="shared" si="9"/>
        <v>-83.635378976462874</v>
      </c>
    </row>
    <row r="90" spans="1:7" x14ac:dyDescent="0.3">
      <c r="A90">
        <v>0.435</v>
      </c>
      <c r="B90">
        <v>431.13</v>
      </c>
      <c r="C90">
        <f t="shared" si="5"/>
        <v>-251.29105263157874</v>
      </c>
      <c r="D90">
        <f t="shared" si="6"/>
        <v>-1.7682040779731595E-2</v>
      </c>
      <c r="E90">
        <f t="shared" si="7"/>
        <v>-0.20703087251272431</v>
      </c>
      <c r="F90">
        <f t="shared" si="8"/>
        <v>-8.6940199117882377E-3</v>
      </c>
      <c r="G90">
        <f t="shared" si="9"/>
        <v>-89.257220066410838</v>
      </c>
    </row>
    <row r="91" spans="1:7" x14ac:dyDescent="0.3">
      <c r="A91">
        <v>0.44</v>
      </c>
      <c r="B91">
        <v>422.42</v>
      </c>
      <c r="C91">
        <f t="shared" si="5"/>
        <v>-260.00105263157872</v>
      </c>
      <c r="D91">
        <f t="shared" si="6"/>
        <v>-1.8374929720037007E-2</v>
      </c>
      <c r="E91">
        <f t="shared" si="7"/>
        <v>-0.22540580223276133</v>
      </c>
      <c r="F91">
        <f t="shared" si="8"/>
        <v>-9.7751115986519522E-3</v>
      </c>
      <c r="G91">
        <f t="shared" si="9"/>
        <v>-95.21591897916305</v>
      </c>
    </row>
    <row r="92" spans="1:7" x14ac:dyDescent="0.3">
      <c r="A92">
        <v>0.44500000000000001</v>
      </c>
      <c r="B92">
        <v>415.42</v>
      </c>
      <c r="C92">
        <f t="shared" si="5"/>
        <v>-267.00105263157872</v>
      </c>
      <c r="D92">
        <f t="shared" si="6"/>
        <v>-1.8939519204072178E-2</v>
      </c>
      <c r="E92">
        <f t="shared" si="7"/>
        <v>-0.24434532143683352</v>
      </c>
      <c r="F92">
        <f t="shared" si="8"/>
        <v>-1.0949489407825939E-2</v>
      </c>
      <c r="G92">
        <f t="shared" si="9"/>
        <v>-101.50593343128938</v>
      </c>
    </row>
    <row r="93" spans="1:7" x14ac:dyDescent="0.3">
      <c r="A93">
        <v>0.45</v>
      </c>
      <c r="B93">
        <v>410.93</v>
      </c>
      <c r="C93">
        <f t="shared" si="5"/>
        <v>-271.49105263157873</v>
      </c>
      <c r="D93">
        <f t="shared" si="6"/>
        <v>-1.9352449386857925E-2</v>
      </c>
      <c r="E93">
        <f t="shared" si="7"/>
        <v>-0.26369777082369145</v>
      </c>
      <c r="F93">
        <f t="shared" si="8"/>
        <v>-1.2219597138477253E-2</v>
      </c>
      <c r="G93">
        <f t="shared" si="9"/>
        <v>-108.36132496457952</v>
      </c>
    </row>
    <row r="94" spans="1:7" x14ac:dyDescent="0.3">
      <c r="A94">
        <v>0.45500000000000002</v>
      </c>
      <c r="B94">
        <v>407.98</v>
      </c>
      <c r="C94">
        <f t="shared" si="5"/>
        <v>-274.44105263157871</v>
      </c>
      <c r="D94">
        <f t="shared" si="6"/>
        <v>-1.9619829766311877E-2</v>
      </c>
      <c r="E94">
        <f t="shared" si="7"/>
        <v>-0.28331760059000333</v>
      </c>
      <c r="F94">
        <f t="shared" si="8"/>
        <v>-1.358713556701149E-2</v>
      </c>
      <c r="G94">
        <f t="shared" si="9"/>
        <v>-115.58791468870956</v>
      </c>
    </row>
    <row r="95" spans="1:7" x14ac:dyDescent="0.3">
      <c r="A95">
        <v>0.46</v>
      </c>
      <c r="B95">
        <v>404.22</v>
      </c>
      <c r="C95">
        <f t="shared" si="5"/>
        <v>-278.2010526315787</v>
      </c>
      <c r="D95">
        <f t="shared" si="6"/>
        <v>-1.9860975242943068E-2</v>
      </c>
      <c r="E95">
        <f t="shared" si="7"/>
        <v>-0.30317857583294638</v>
      </c>
      <c r="F95">
        <f t="shared" si="8"/>
        <v>-1.5053376008068865E-2</v>
      </c>
      <c r="G95">
        <f t="shared" si="9"/>
        <v>-122.5508439231936</v>
      </c>
    </row>
    <row r="96" spans="1:7" x14ac:dyDescent="0.3">
      <c r="A96">
        <v>0.46500000000000002</v>
      </c>
      <c r="B96">
        <v>402.13</v>
      </c>
      <c r="C96">
        <f t="shared" si="5"/>
        <v>-280.29105263157874</v>
      </c>
      <c r="D96">
        <f t="shared" si="6"/>
        <v>-2.0071213847755658E-2</v>
      </c>
      <c r="E96">
        <f t="shared" si="7"/>
        <v>-0.32324978968070206</v>
      </c>
      <c r="F96">
        <f t="shared" si="8"/>
        <v>-1.6619446921852986E-2</v>
      </c>
      <c r="G96">
        <f t="shared" si="9"/>
        <v>-129.98843792430071</v>
      </c>
    </row>
    <row r="97" spans="1:7" x14ac:dyDescent="0.3">
      <c r="A97">
        <v>0.47</v>
      </c>
      <c r="B97">
        <v>398.32</v>
      </c>
      <c r="C97">
        <f t="shared" si="5"/>
        <v>-284.10105263157874</v>
      </c>
      <c r="D97">
        <f t="shared" si="6"/>
        <v>-2.0283249363720487E-2</v>
      </c>
      <c r="E97">
        <f t="shared" si="7"/>
        <v>-0.34353303904442256</v>
      </c>
      <c r="F97">
        <f t="shared" si="8"/>
        <v>-1.8286403993665799E-2</v>
      </c>
      <c r="G97">
        <f t="shared" si="9"/>
        <v>-136.83608011217439</v>
      </c>
    </row>
    <row r="98" spans="1:7" x14ac:dyDescent="0.3">
      <c r="A98">
        <v>0.47499999999999998</v>
      </c>
      <c r="B98">
        <v>396.69</v>
      </c>
      <c r="C98">
        <f t="shared" si="5"/>
        <v>-285.73105263157873</v>
      </c>
      <c r="D98">
        <f t="shared" si="6"/>
        <v>-2.0478753297084672E-2</v>
      </c>
      <c r="E98">
        <f t="shared" si="7"/>
        <v>-0.36401179234150721</v>
      </c>
      <c r="F98">
        <f t="shared" si="8"/>
        <v>-2.0055266072130623E-2</v>
      </c>
      <c r="G98">
        <f t="shared" si="9"/>
        <v>-144.39983790395249</v>
      </c>
    </row>
    <row r="99" spans="1:7" x14ac:dyDescent="0.3">
      <c r="A99">
        <v>0.48</v>
      </c>
      <c r="B99">
        <v>404.98</v>
      </c>
      <c r="C99">
        <f t="shared" si="5"/>
        <v>-277.44105263157871</v>
      </c>
      <c r="D99">
        <f t="shared" si="6"/>
        <v>-2.0239404731605726E-2</v>
      </c>
      <c r="E99">
        <f t="shared" si="7"/>
        <v>-0.38425119707311295</v>
      </c>
      <c r="F99">
        <f t="shared" si="8"/>
        <v>-2.1925923545667175E-2</v>
      </c>
      <c r="G99">
        <f t="shared" si="9"/>
        <v>-155.6140497906693</v>
      </c>
    </row>
    <row r="100" spans="1:7" x14ac:dyDescent="0.3">
      <c r="A100">
        <v>0.48499999999999999</v>
      </c>
      <c r="B100">
        <v>406.94</v>
      </c>
      <c r="C100">
        <f t="shared" si="5"/>
        <v>-275.48105263157873</v>
      </c>
      <c r="D100">
        <f t="shared" si="6"/>
        <v>-1.9871037945395634E-2</v>
      </c>
      <c r="E100">
        <f t="shared" si="7"/>
        <v>-0.40412223501850858</v>
      </c>
      <c r="F100">
        <f t="shared" si="8"/>
        <v>-2.3896857125896228E-2</v>
      </c>
      <c r="G100">
        <f t="shared" si="9"/>
        <v>-164.45350231843187</v>
      </c>
    </row>
    <row r="101" spans="1:7" x14ac:dyDescent="0.3">
      <c r="A101">
        <v>0.49</v>
      </c>
      <c r="B101">
        <v>408.03</v>
      </c>
      <c r="C101">
        <f t="shared" si="5"/>
        <v>-274.39105263157876</v>
      </c>
      <c r="D101">
        <f t="shared" si="6"/>
        <v>-1.9761426365108734E-2</v>
      </c>
      <c r="E101">
        <f t="shared" si="7"/>
        <v>-0.42388366138361733</v>
      </c>
      <c r="F101">
        <f t="shared" si="8"/>
        <v>-2.5966871866901543E-2</v>
      </c>
      <c r="G101">
        <f t="shared" si="9"/>
        <v>-172.95725035435737</v>
      </c>
    </row>
    <row r="102" spans="1:7" x14ac:dyDescent="0.3">
      <c r="A102">
        <v>0.495</v>
      </c>
      <c r="B102">
        <v>396.94</v>
      </c>
      <c r="C102">
        <f t="shared" si="5"/>
        <v>-285.48105263157873</v>
      </c>
      <c r="D102">
        <f t="shared" si="6"/>
        <v>-2.01208085955576E-2</v>
      </c>
      <c r="E102">
        <f t="shared" si="7"/>
        <v>-0.44400446997917492</v>
      </c>
      <c r="F102">
        <f t="shared" si="8"/>
        <v>-2.8136592195308521E-2</v>
      </c>
      <c r="G102">
        <f t="shared" si="9"/>
        <v>-176.24313431353369</v>
      </c>
    </row>
    <row r="103" spans="1:7" x14ac:dyDescent="0.3">
      <c r="A103">
        <v>0.5</v>
      </c>
      <c r="B103">
        <v>397.63</v>
      </c>
      <c r="C103">
        <f t="shared" si="5"/>
        <v>-284.79105263157874</v>
      </c>
      <c r="D103">
        <f t="shared" si="6"/>
        <v>-2.0494566115224426E-2</v>
      </c>
      <c r="E103">
        <f t="shared" si="7"/>
        <v>-0.46449903609439935</v>
      </c>
      <c r="F103">
        <f t="shared" si="8"/>
        <v>-3.0407850960492457E-2</v>
      </c>
      <c r="G103">
        <f t="shared" si="9"/>
        <v>-184.698751722216</v>
      </c>
    </row>
    <row r="104" spans="1:7" x14ac:dyDescent="0.3">
      <c r="A104">
        <v>0.505</v>
      </c>
      <c r="B104">
        <v>395.32</v>
      </c>
      <c r="C104">
        <f t="shared" si="5"/>
        <v>-287.10105263157874</v>
      </c>
      <c r="D104">
        <f t="shared" si="6"/>
        <v>-2.0552786036557139E-2</v>
      </c>
      <c r="E104">
        <f t="shared" si="7"/>
        <v>-0.48505182213095649</v>
      </c>
      <c r="F104">
        <f t="shared" si="8"/>
        <v>-3.2781728106055848E-2</v>
      </c>
      <c r="G104">
        <f t="shared" si="9"/>
        <v>-191.75068632480972</v>
      </c>
    </row>
    <row r="105" spans="1:7" x14ac:dyDescent="0.3">
      <c r="A105">
        <v>0.51</v>
      </c>
      <c r="B105">
        <v>389.69</v>
      </c>
      <c r="C105">
        <f t="shared" si="5"/>
        <v>-292.73105263157873</v>
      </c>
      <c r="D105">
        <f t="shared" si="6"/>
        <v>-2.0838135527533538E-2</v>
      </c>
      <c r="E105">
        <f t="shared" si="7"/>
        <v>-0.50588995765848999</v>
      </c>
      <c r="F105">
        <f t="shared" si="8"/>
        <v>-3.5259082555529467E-2</v>
      </c>
      <c r="G105">
        <f t="shared" si="9"/>
        <v>-197.14025759993697</v>
      </c>
    </row>
    <row r="106" spans="1:7" x14ac:dyDescent="0.3">
      <c r="A106">
        <v>0.51500000000000001</v>
      </c>
      <c r="B106">
        <v>382.75</v>
      </c>
      <c r="C106">
        <f t="shared" si="5"/>
        <v>-299.67105263157873</v>
      </c>
      <c r="D106">
        <f t="shared" si="6"/>
        <v>-2.128987899120776E-2</v>
      </c>
      <c r="E106">
        <f t="shared" si="7"/>
        <v>-0.5271798366496977</v>
      </c>
      <c r="F106">
        <f t="shared" si="8"/>
        <v>-3.7841757041299939E-2</v>
      </c>
      <c r="G106">
        <f t="shared" si="9"/>
        <v>-201.7780824776718</v>
      </c>
    </row>
    <row r="107" spans="1:7" x14ac:dyDescent="0.3">
      <c r="A107">
        <v>0.52</v>
      </c>
      <c r="B107">
        <v>374.78</v>
      </c>
      <c r="C107">
        <f t="shared" si="5"/>
        <v>-307.64105263157876</v>
      </c>
      <c r="D107">
        <f t="shared" si="6"/>
        <v>-2.1825717896807026E-2</v>
      </c>
      <c r="E107">
        <f t="shared" si="7"/>
        <v>-0.54900555454650468</v>
      </c>
      <c r="F107">
        <f t="shared" si="8"/>
        <v>-4.0532220519290445E-2</v>
      </c>
      <c r="G107">
        <f t="shared" si="9"/>
        <v>-205.75630173293902</v>
      </c>
    </row>
    <row r="108" spans="1:7" x14ac:dyDescent="0.3">
      <c r="A108">
        <v>0.52500000000000002</v>
      </c>
      <c r="B108">
        <v>368.07</v>
      </c>
      <c r="C108">
        <f t="shared" si="5"/>
        <v>-314.35105263157874</v>
      </c>
      <c r="D108">
        <f t="shared" si="6"/>
        <v>-2.2353291011105961E-2</v>
      </c>
      <c r="E108">
        <f t="shared" si="7"/>
        <v>-0.57135884555761063</v>
      </c>
      <c r="F108">
        <f t="shared" si="8"/>
        <v>-4.3333131519550733E-2</v>
      </c>
      <c r="G108">
        <f t="shared" si="9"/>
        <v>-210.30005028438973</v>
      </c>
    </row>
    <row r="109" spans="1:7" x14ac:dyDescent="0.3">
      <c r="A109">
        <v>0.53</v>
      </c>
      <c r="B109">
        <v>363.02</v>
      </c>
      <c r="C109">
        <f t="shared" si="5"/>
        <v>-319.40105263157875</v>
      </c>
      <c r="D109">
        <f t="shared" si="6"/>
        <v>-2.2775924514113827E-2</v>
      </c>
      <c r="E109">
        <f t="shared" si="7"/>
        <v>-0.59413477007172444</v>
      </c>
      <c r="F109">
        <f t="shared" si="8"/>
        <v>-4.6246865558624069E-2</v>
      </c>
      <c r="G109">
        <f t="shared" si="9"/>
        <v>-215.68280423143739</v>
      </c>
    </row>
    <row r="110" spans="1:7" x14ac:dyDescent="0.3">
      <c r="A110">
        <v>0.53500000000000003</v>
      </c>
      <c r="B110">
        <v>360.89</v>
      </c>
      <c r="C110">
        <f t="shared" si="5"/>
        <v>-321.53105263157875</v>
      </c>
      <c r="D110">
        <f t="shared" si="6"/>
        <v>-2.3033960955576114E-2</v>
      </c>
      <c r="E110">
        <f t="shared" si="7"/>
        <v>-0.61716873102730052</v>
      </c>
      <c r="F110">
        <f t="shared" si="8"/>
        <v>-4.9275124311371633E-2</v>
      </c>
      <c r="G110">
        <f t="shared" si="9"/>
        <v>-222.73002334044247</v>
      </c>
    </row>
    <row r="111" spans="1:7" x14ac:dyDescent="0.3">
      <c r="A111">
        <v>0.54</v>
      </c>
      <c r="B111">
        <v>359.92</v>
      </c>
      <c r="C111">
        <f t="shared" si="5"/>
        <v>-322.50105263157872</v>
      </c>
      <c r="D111">
        <f t="shared" si="6"/>
        <v>-2.3145369447015264E-2</v>
      </c>
      <c r="E111">
        <f t="shared" si="7"/>
        <v>-0.64031410047431581</v>
      </c>
      <c r="F111">
        <f t="shared" si="8"/>
        <v>-5.2418831390125674E-2</v>
      </c>
      <c r="G111">
        <f t="shared" si="9"/>
        <v>-230.46185104271575</v>
      </c>
    </row>
    <row r="112" spans="1:7" x14ac:dyDescent="0.3">
      <c r="A112">
        <v>0.54500000000000004</v>
      </c>
      <c r="B112">
        <v>353.45</v>
      </c>
      <c r="C112">
        <f t="shared" si="5"/>
        <v>-328.97105263157874</v>
      </c>
      <c r="D112">
        <f t="shared" si="6"/>
        <v>-2.3412749826469216E-2</v>
      </c>
      <c r="E112">
        <f t="shared" si="7"/>
        <v>-0.66372685030078504</v>
      </c>
      <c r="F112">
        <f t="shared" si="8"/>
        <v>-5.5678933767063427E-2</v>
      </c>
      <c r="G112">
        <f t="shared" si="9"/>
        <v>-234.59425523881248</v>
      </c>
    </row>
    <row r="113" spans="1:7" x14ac:dyDescent="0.3">
      <c r="A113">
        <v>0.55000000000000004</v>
      </c>
      <c r="B113">
        <v>352.81</v>
      </c>
      <c r="C113">
        <f t="shared" si="5"/>
        <v>-329.61105263157873</v>
      </c>
      <c r="D113">
        <f t="shared" si="6"/>
        <v>-2.3668270592318363E-2</v>
      </c>
      <c r="E113">
        <f t="shared" si="7"/>
        <v>-0.6873951208931034</v>
      </c>
      <c r="F113">
        <f t="shared" si="8"/>
        <v>-5.9056738695048148E-2</v>
      </c>
      <c r="G113">
        <f t="shared" si="9"/>
        <v>-242.51987260229581</v>
      </c>
    </row>
    <row r="114" spans="1:7" x14ac:dyDescent="0.3">
      <c r="A114">
        <v>0.55500000000000005</v>
      </c>
      <c r="B114">
        <v>348.61</v>
      </c>
      <c r="C114">
        <f t="shared" si="5"/>
        <v>-333.81105263157872</v>
      </c>
      <c r="D114">
        <f t="shared" si="6"/>
        <v>-2.3842211591855608E-2</v>
      </c>
      <c r="E114">
        <f t="shared" si="7"/>
        <v>-0.71123733248495902</v>
      </c>
      <c r="F114">
        <f t="shared" si="8"/>
        <v>-6.2553319828493298E-2</v>
      </c>
      <c r="G114">
        <f t="shared" si="9"/>
        <v>-247.94444647758158</v>
      </c>
    </row>
    <row r="115" spans="1:7" x14ac:dyDescent="0.3">
      <c r="A115">
        <v>0.56000000000000005</v>
      </c>
      <c r="B115">
        <v>346.02</v>
      </c>
      <c r="C115">
        <f t="shared" si="5"/>
        <v>-336.40105263157875</v>
      </c>
      <c r="D115">
        <f t="shared" si="6"/>
        <v>-2.4086232126330393E-2</v>
      </c>
      <c r="E115">
        <f t="shared" si="7"/>
        <v>-0.73532356461128945</v>
      </c>
      <c r="F115">
        <f t="shared" si="8"/>
        <v>-6.6169722071233922E-2</v>
      </c>
      <c r="G115">
        <f t="shared" si="9"/>
        <v>-254.43665982679835</v>
      </c>
    </row>
    <row r="116" spans="1:7" x14ac:dyDescent="0.3">
      <c r="A116">
        <v>0.56499999999999995</v>
      </c>
      <c r="B116">
        <v>338.39</v>
      </c>
      <c r="C116">
        <f t="shared" si="5"/>
        <v>-344.03105263157875</v>
      </c>
      <c r="D116">
        <f t="shared" si="6"/>
        <v>-2.4453520765849134E-2</v>
      </c>
      <c r="E116">
        <f t="shared" si="7"/>
        <v>-0.75977708537713862</v>
      </c>
      <c r="F116">
        <f t="shared" si="8"/>
        <v>-6.9907473696204994E-2</v>
      </c>
      <c r="G116">
        <f t="shared" si="9"/>
        <v>-257.1009679207699</v>
      </c>
    </row>
    <row r="117" spans="1:7" x14ac:dyDescent="0.3">
      <c r="A117">
        <v>0.56999999999999995</v>
      </c>
      <c r="B117">
        <v>338.01</v>
      </c>
      <c r="C117">
        <f t="shared" si="5"/>
        <v>-344.41105263157874</v>
      </c>
      <c r="D117">
        <f t="shared" si="6"/>
        <v>-2.474138593243868E-2</v>
      </c>
      <c r="E117">
        <f t="shared" si="7"/>
        <v>-0.7845184713095773</v>
      </c>
      <c r="F117">
        <f t="shared" si="8"/>
        <v>-7.376821258792178E-2</v>
      </c>
      <c r="G117">
        <f t="shared" si="9"/>
        <v>-265.17508848735019</v>
      </c>
    </row>
    <row r="118" spans="1:7" x14ac:dyDescent="0.3">
      <c r="A118">
        <v>0.57499999999999996</v>
      </c>
      <c r="B118">
        <v>335.78</v>
      </c>
      <c r="C118">
        <f t="shared" si="5"/>
        <v>-346.64105263157876</v>
      </c>
      <c r="D118">
        <f t="shared" si="6"/>
        <v>-2.4835184694585833E-2</v>
      </c>
      <c r="E118">
        <f t="shared" si="7"/>
        <v>-0.80935365600416309</v>
      </c>
      <c r="F118">
        <f t="shared" si="8"/>
        <v>-7.7752892906206128E-2</v>
      </c>
      <c r="G118">
        <f t="shared" si="9"/>
        <v>-271.76477061307787</v>
      </c>
    </row>
    <row r="119" spans="1:7" x14ac:dyDescent="0.3">
      <c r="A119">
        <v>0.57999999999999996</v>
      </c>
      <c r="B119">
        <v>334.88</v>
      </c>
      <c r="C119">
        <f t="shared" si="5"/>
        <v>-347.54105263157874</v>
      </c>
      <c r="D119">
        <f t="shared" si="6"/>
        <v>-2.4947671332716328E-2</v>
      </c>
      <c r="E119">
        <f t="shared" si="7"/>
        <v>-0.83430132733687945</v>
      </c>
      <c r="F119">
        <f t="shared" si="8"/>
        <v>-8.1862030364558733E-2</v>
      </c>
      <c r="G119">
        <f t="shared" si="9"/>
        <v>-279.39082849857419</v>
      </c>
    </row>
    <row r="120" spans="1:7" x14ac:dyDescent="0.3">
      <c r="A120">
        <v>0.58499999999999996</v>
      </c>
      <c r="B120">
        <v>334.75</v>
      </c>
      <c r="C120">
        <f t="shared" si="5"/>
        <v>-347.67105263157873</v>
      </c>
      <c r="D120">
        <f t="shared" si="6"/>
        <v>-2.498468770245256E-2</v>
      </c>
      <c r="E120">
        <f t="shared" si="7"/>
        <v>-0.859286015039332</v>
      </c>
      <c r="F120">
        <f t="shared" si="8"/>
        <v>-8.6095998720499264E-2</v>
      </c>
      <c r="G120">
        <f t="shared" si="9"/>
        <v>-287.64599353441639</v>
      </c>
    </row>
    <row r="121" spans="1:7" x14ac:dyDescent="0.3">
      <c r="A121">
        <v>0.59</v>
      </c>
      <c r="B121">
        <v>340.4</v>
      </c>
      <c r="C121">
        <f t="shared" si="5"/>
        <v>-342.02105263157875</v>
      </c>
      <c r="D121">
        <f t="shared" si="6"/>
        <v>-2.4786308711244789E-2</v>
      </c>
      <c r="E121">
        <f t="shared" si="7"/>
        <v>-0.88407232375057676</v>
      </c>
      <c r="F121">
        <f t="shared" si="8"/>
        <v>-9.0454394567474034E-2</v>
      </c>
      <c r="G121">
        <f t="shared" si="9"/>
        <v>-300.93821900469629</v>
      </c>
    </row>
    <row r="122" spans="1:7" x14ac:dyDescent="0.3">
      <c r="A122">
        <v>0.59499999999999997</v>
      </c>
      <c r="B122">
        <v>343.62</v>
      </c>
      <c r="C122">
        <f t="shared" si="5"/>
        <v>-338.80105263157873</v>
      </c>
      <c r="D122">
        <f t="shared" si="6"/>
        <v>-2.4467536672836642E-2</v>
      </c>
      <c r="E122">
        <f t="shared" si="7"/>
        <v>-0.90853986042341339</v>
      </c>
      <c r="F122">
        <f t="shared" si="8"/>
        <v>-9.4935925027909013E-2</v>
      </c>
      <c r="G122">
        <f t="shared" si="9"/>
        <v>-312.19246683869329</v>
      </c>
    </row>
    <row r="123" spans="1:7" x14ac:dyDescent="0.3">
      <c r="A123">
        <v>0.6</v>
      </c>
      <c r="B123">
        <v>350.38</v>
      </c>
      <c r="C123">
        <f t="shared" si="5"/>
        <v>-332.04105263157874</v>
      </c>
      <c r="D123">
        <f t="shared" si="6"/>
        <v>-2.410887320684867E-2</v>
      </c>
      <c r="E123">
        <f t="shared" si="7"/>
        <v>-0.93264873363026202</v>
      </c>
      <c r="F123">
        <f t="shared" si="8"/>
        <v>-9.9538896513043207E-2</v>
      </c>
      <c r="G123">
        <f t="shared" si="9"/>
        <v>-326.78146328937117</v>
      </c>
    </row>
    <row r="124" spans="1:7" x14ac:dyDescent="0.3">
      <c r="A124">
        <v>0.60499999999999998</v>
      </c>
      <c r="B124">
        <v>355.14</v>
      </c>
      <c r="C124">
        <f t="shared" si="5"/>
        <v>-327.28105263157875</v>
      </c>
      <c r="D124">
        <f t="shared" si="6"/>
        <v>-2.3694864877371581E-2</v>
      </c>
      <c r="E124">
        <f t="shared" si="7"/>
        <v>-0.95634359850763362</v>
      </c>
      <c r="F124">
        <f t="shared" si="8"/>
        <v>-0.10426137734338795</v>
      </c>
      <c r="G124">
        <f t="shared" si="9"/>
        <v>-339.635865574001</v>
      </c>
    </row>
    <row r="125" spans="1:7" x14ac:dyDescent="0.3">
      <c r="A125">
        <v>0.61</v>
      </c>
      <c r="B125">
        <v>356.22</v>
      </c>
      <c r="C125">
        <f t="shared" si="5"/>
        <v>-326.2010526315787</v>
      </c>
      <c r="D125">
        <f t="shared" si="6"/>
        <v>-2.3484985654789438E-2</v>
      </c>
      <c r="E125">
        <f t="shared" si="7"/>
        <v>-0.97982858416242302</v>
      </c>
      <c r="F125">
        <f t="shared" si="8"/>
        <v>-0.10910180780006309</v>
      </c>
      <c r="G125">
        <f t="shared" si="9"/>
        <v>-349.03453825033836</v>
      </c>
    </row>
    <row r="126" spans="1:7" x14ac:dyDescent="0.3">
      <c r="A126">
        <v>0.61499999999999999</v>
      </c>
      <c r="B126">
        <v>356.05</v>
      </c>
      <c r="C126">
        <f t="shared" si="5"/>
        <v>-326.37105263157872</v>
      </c>
      <c r="D126">
        <f t="shared" si="6"/>
        <v>-2.3452281871818595E-2</v>
      </c>
      <c r="E126">
        <f t="shared" si="7"/>
        <v>-1.0032808660342416</v>
      </c>
      <c r="F126">
        <f t="shared" si="8"/>
        <v>-0.11405958142555475</v>
      </c>
      <c r="G126">
        <f t="shared" si="9"/>
        <v>-357.21815235149171</v>
      </c>
    </row>
    <row r="127" spans="1:7" x14ac:dyDescent="0.3">
      <c r="A127">
        <v>0.62</v>
      </c>
      <c r="B127">
        <v>356.65</v>
      </c>
      <c r="C127">
        <f t="shared" si="5"/>
        <v>-325.77105263157875</v>
      </c>
      <c r="D127">
        <f t="shared" si="6"/>
        <v>-2.3436828435909291E-2</v>
      </c>
      <c r="E127">
        <f t="shared" si="7"/>
        <v>-1.0267176944701508</v>
      </c>
      <c r="F127">
        <f t="shared" si="8"/>
        <v>-0.11913457782681573</v>
      </c>
      <c r="G127">
        <f t="shared" si="9"/>
        <v>-366.17886573277929</v>
      </c>
    </row>
    <row r="128" spans="1:7" x14ac:dyDescent="0.3">
      <c r="A128">
        <v>0.625</v>
      </c>
      <c r="B128">
        <v>360.23</v>
      </c>
      <c r="C128">
        <f t="shared" si="5"/>
        <v>-322.19105263157871</v>
      </c>
      <c r="D128">
        <f t="shared" si="6"/>
        <v>-2.3286606663581667E-2</v>
      </c>
      <c r="E128">
        <f t="shared" si="7"/>
        <v>-1.0500043011337326</v>
      </c>
      <c r="F128">
        <f t="shared" si="8"/>
        <v>-0.12432638281582545</v>
      </c>
      <c r="G128">
        <f t="shared" si="9"/>
        <v>-378.24304939740449</v>
      </c>
    </row>
    <row r="129" spans="1:7" x14ac:dyDescent="0.3">
      <c r="A129">
        <v>0.63</v>
      </c>
      <c r="B129">
        <v>364.01</v>
      </c>
      <c r="C129">
        <f t="shared" si="5"/>
        <v>-318.41105263157874</v>
      </c>
      <c r="D129">
        <f t="shared" si="6"/>
        <v>-2.3022101341971298E-2</v>
      </c>
      <c r="E129">
        <f t="shared" si="7"/>
        <v>-1.0730264024757039</v>
      </c>
      <c r="F129">
        <f t="shared" si="8"/>
        <v>-0.12963395957484905</v>
      </c>
      <c r="G129">
        <f t="shared" si="9"/>
        <v>-390.59234076518095</v>
      </c>
    </row>
    <row r="130" spans="1:7" x14ac:dyDescent="0.3">
      <c r="A130">
        <v>0.63500000000000001</v>
      </c>
      <c r="B130">
        <v>375.14</v>
      </c>
      <c r="C130">
        <f t="shared" si="5"/>
        <v>-307.28105263157875</v>
      </c>
      <c r="D130">
        <f t="shared" si="6"/>
        <v>-2.2486262436372039E-2</v>
      </c>
      <c r="E130">
        <f t="shared" si="7"/>
        <v>-1.0955126649120759</v>
      </c>
      <c r="F130">
        <f t="shared" si="8"/>
        <v>-0.13505530724331849</v>
      </c>
      <c r="G130">
        <f t="shared" si="9"/>
        <v>-410.97062111511616</v>
      </c>
    </row>
    <row r="131" spans="1:7" x14ac:dyDescent="0.3">
      <c r="A131">
        <v>0.64</v>
      </c>
      <c r="B131">
        <v>383.27</v>
      </c>
      <c r="C131">
        <f t="shared" si="5"/>
        <v>-299.15105263157875</v>
      </c>
      <c r="D131">
        <f t="shared" si="6"/>
        <v>-2.1794092260527524E-2</v>
      </c>
      <c r="E131">
        <f t="shared" si="7"/>
        <v>-1.1173067571726034</v>
      </c>
      <c r="F131">
        <f t="shared" si="8"/>
        <v>-0.14058735579853018</v>
      </c>
      <c r="G131">
        <f t="shared" si="9"/>
        <v>-428.23016082154368</v>
      </c>
    </row>
    <row r="132" spans="1:7" x14ac:dyDescent="0.3">
      <c r="A132">
        <v>0.64500000000000002</v>
      </c>
      <c r="B132">
        <v>396</v>
      </c>
      <c r="C132">
        <f t="shared" ref="C132:C195" si="10">B132+$C$1</f>
        <v>-286.42105263157873</v>
      </c>
      <c r="D132">
        <f t="shared" si="6"/>
        <v>-2.104442092781119E-2</v>
      </c>
      <c r="E132">
        <f t="shared" si="7"/>
        <v>-1.1383511781004145</v>
      </c>
      <c r="F132">
        <f t="shared" si="8"/>
        <v>-0.14622650063671272</v>
      </c>
      <c r="G132">
        <f t="shared" si="9"/>
        <v>-450.78706652776418</v>
      </c>
    </row>
    <row r="133" spans="1:7" x14ac:dyDescent="0.3">
      <c r="A133">
        <v>0.65</v>
      </c>
      <c r="B133">
        <v>404.28</v>
      </c>
      <c r="C133">
        <f t="shared" si="10"/>
        <v>-278.14105263157876</v>
      </c>
      <c r="D133">
        <f t="shared" ref="D133:D196" si="11">1/$E$1*(C132+C133)*0.005/2</f>
        <v>-2.0289358861638119E-2</v>
      </c>
      <c r="E133">
        <f t="shared" ref="E133:E196" si="12">E132+D133</f>
        <v>-1.1586405369620527</v>
      </c>
      <c r="F133">
        <f t="shared" ref="F133:F196" si="13">F132+(E132+E133)*0.005/2</f>
        <v>-0.15196897992436889</v>
      </c>
      <c r="G133">
        <f t="shared" ref="G133:G196" si="14">B133*E133</f>
        <v>-468.41519628301864</v>
      </c>
    </row>
    <row r="134" spans="1:7" x14ac:dyDescent="0.3">
      <c r="A134">
        <v>0.65500000000000003</v>
      </c>
      <c r="B134">
        <v>422.9</v>
      </c>
      <c r="C134">
        <f t="shared" si="10"/>
        <v>-259.52105263157875</v>
      </c>
      <c r="D134">
        <f t="shared" si="11"/>
        <v>-1.9322620661730672E-2</v>
      </c>
      <c r="E134">
        <f t="shared" si="12"/>
        <v>-1.1779631576237835</v>
      </c>
      <c r="F134">
        <f t="shared" si="13"/>
        <v>-0.15781048916083348</v>
      </c>
      <c r="G134">
        <f t="shared" si="14"/>
        <v>-498.16061935909801</v>
      </c>
    </row>
    <row r="135" spans="1:7" x14ac:dyDescent="0.3">
      <c r="A135">
        <v>0.66</v>
      </c>
      <c r="B135">
        <v>447.9</v>
      </c>
      <c r="C135">
        <f t="shared" si="10"/>
        <v>-234.52105263157875</v>
      </c>
      <c r="D135">
        <f t="shared" si="11"/>
        <v>-1.7754995372512718E-2</v>
      </c>
      <c r="E135">
        <f t="shared" si="12"/>
        <v>-1.1957181529962961</v>
      </c>
      <c r="F135">
        <f t="shared" si="13"/>
        <v>-0.16374469243738368</v>
      </c>
      <c r="G135">
        <f t="shared" si="14"/>
        <v>-535.56216072704103</v>
      </c>
    </row>
    <row r="136" spans="1:7" x14ac:dyDescent="0.3">
      <c r="A136">
        <v>0.66500000000000004</v>
      </c>
      <c r="B136">
        <v>470.06</v>
      </c>
      <c r="C136">
        <f t="shared" si="10"/>
        <v>-212.36105263157873</v>
      </c>
      <c r="D136">
        <f t="shared" si="11"/>
        <v>-1.6060148773715862E-2</v>
      </c>
      <c r="E136">
        <f t="shared" si="12"/>
        <v>-1.2117783017700119</v>
      </c>
      <c r="F136">
        <f t="shared" si="13"/>
        <v>-0.16976343357429946</v>
      </c>
      <c r="G136">
        <f t="shared" si="14"/>
        <v>-569.60850853001182</v>
      </c>
    </row>
    <row r="137" spans="1:7" x14ac:dyDescent="0.3">
      <c r="A137">
        <v>0.67</v>
      </c>
      <c r="B137">
        <v>503.13</v>
      </c>
      <c r="C137">
        <f t="shared" si="10"/>
        <v>-179.29105263157874</v>
      </c>
      <c r="D137">
        <f t="shared" si="11"/>
        <v>-1.4075280714946773E-2</v>
      </c>
      <c r="E137">
        <f t="shared" si="12"/>
        <v>-1.2258535824849586</v>
      </c>
      <c r="F137">
        <f t="shared" si="13"/>
        <v>-0.17585751328493687</v>
      </c>
      <c r="G137">
        <f t="shared" si="14"/>
        <v>-616.76371295565718</v>
      </c>
    </row>
    <row r="138" spans="1:7" x14ac:dyDescent="0.3">
      <c r="A138">
        <v>0.67500000000000004</v>
      </c>
      <c r="B138">
        <v>543.12</v>
      </c>
      <c r="C138">
        <f t="shared" si="10"/>
        <v>-139.30105263157873</v>
      </c>
      <c r="D138">
        <f t="shared" si="11"/>
        <v>-1.1449634139287354E-2</v>
      </c>
      <c r="E138">
        <f t="shared" si="12"/>
        <v>-1.2373032166242459</v>
      </c>
      <c r="F138">
        <f t="shared" si="13"/>
        <v>-0.18201540528270987</v>
      </c>
      <c r="G138">
        <f t="shared" si="14"/>
        <v>-672.00412301296046</v>
      </c>
    </row>
    <row r="139" spans="1:7" x14ac:dyDescent="0.3">
      <c r="A139">
        <v>0.68</v>
      </c>
      <c r="B139">
        <v>579.71</v>
      </c>
      <c r="C139">
        <f t="shared" si="10"/>
        <v>-102.7110526315787</v>
      </c>
      <c r="D139">
        <f t="shared" si="11"/>
        <v>-8.6974850185099345E-3</v>
      </c>
      <c r="E139">
        <f t="shared" si="12"/>
        <v>-1.2460007016427559</v>
      </c>
      <c r="F139">
        <f t="shared" si="13"/>
        <v>-0.18822366507837737</v>
      </c>
      <c r="G139">
        <f t="shared" si="14"/>
        <v>-722.31906674932202</v>
      </c>
    </row>
    <row r="140" spans="1:7" x14ac:dyDescent="0.3">
      <c r="A140">
        <v>0.68500000000000005</v>
      </c>
      <c r="B140">
        <v>630.20000000000005</v>
      </c>
      <c r="C140">
        <f t="shared" si="10"/>
        <v>-52.221052631578686</v>
      </c>
      <c r="D140">
        <f t="shared" si="11"/>
        <v>-5.5679845557612042E-3</v>
      </c>
      <c r="E140">
        <f t="shared" si="12"/>
        <v>-1.2515686861985171</v>
      </c>
      <c r="F140">
        <f t="shared" si="13"/>
        <v>-0.19446758854798055</v>
      </c>
      <c r="G140">
        <f t="shared" si="14"/>
        <v>-788.73858604230554</v>
      </c>
    </row>
    <row r="141" spans="1:7" x14ac:dyDescent="0.3">
      <c r="A141">
        <v>0.69</v>
      </c>
      <c r="B141">
        <v>682.9</v>
      </c>
      <c r="C141">
        <f t="shared" si="10"/>
        <v>0.4789473684212453</v>
      </c>
      <c r="D141">
        <f t="shared" si="11"/>
        <v>-1.8595193197593549E-3</v>
      </c>
      <c r="E141">
        <f t="shared" si="12"/>
        <v>-1.2534282055182764</v>
      </c>
      <c r="F141">
        <f t="shared" si="13"/>
        <v>-0.20073008077727253</v>
      </c>
      <c r="G141">
        <f t="shared" si="14"/>
        <v>-855.96612154843092</v>
      </c>
    </row>
    <row r="142" spans="1:7" x14ac:dyDescent="0.3">
      <c r="A142">
        <v>0.69499999999999995</v>
      </c>
      <c r="B142">
        <v>728.25</v>
      </c>
      <c r="C142">
        <f t="shared" si="10"/>
        <v>45.828947368421268</v>
      </c>
      <c r="D142">
        <f t="shared" si="11"/>
        <v>1.6642234497917783E-3</v>
      </c>
      <c r="E142">
        <f t="shared" si="12"/>
        <v>-1.2517639820684847</v>
      </c>
      <c r="F142">
        <f t="shared" si="13"/>
        <v>-0.20699306124623942</v>
      </c>
      <c r="G142">
        <f t="shared" si="14"/>
        <v>-911.59711994137399</v>
      </c>
    </row>
    <row r="143" spans="1:7" x14ac:dyDescent="0.3">
      <c r="A143">
        <v>0.7</v>
      </c>
      <c r="B143">
        <v>765.74</v>
      </c>
      <c r="C143">
        <f t="shared" si="10"/>
        <v>83.318947368421277</v>
      </c>
      <c r="D143">
        <f t="shared" si="11"/>
        <v>4.6413458468301883E-3</v>
      </c>
      <c r="E143">
        <f t="shared" si="12"/>
        <v>-1.2471226362216545</v>
      </c>
      <c r="F143">
        <f t="shared" si="13"/>
        <v>-0.21324027779196478</v>
      </c>
      <c r="G143">
        <f t="shared" si="14"/>
        <v>-954.97168746036971</v>
      </c>
    </row>
    <row r="144" spans="1:7" x14ac:dyDescent="0.3">
      <c r="A144">
        <v>0.70499999999999996</v>
      </c>
      <c r="B144">
        <v>801.92</v>
      </c>
      <c r="C144">
        <f t="shared" si="10"/>
        <v>119.49894736842123</v>
      </c>
      <c r="D144">
        <f t="shared" si="11"/>
        <v>7.2889147385469854E-3</v>
      </c>
      <c r="E144">
        <f t="shared" si="12"/>
        <v>-1.2398337214831074</v>
      </c>
      <c r="F144">
        <f t="shared" si="13"/>
        <v>-0.21945766868622668</v>
      </c>
      <c r="G144">
        <f t="shared" si="14"/>
        <v>-994.24745793173349</v>
      </c>
    </row>
    <row r="145" spans="1:7" x14ac:dyDescent="0.3">
      <c r="A145">
        <v>0.71</v>
      </c>
      <c r="B145">
        <v>834.37</v>
      </c>
      <c r="C145">
        <f t="shared" si="10"/>
        <v>151.94894736842127</v>
      </c>
      <c r="D145">
        <f t="shared" si="11"/>
        <v>9.7553549861175547E-3</v>
      </c>
      <c r="E145">
        <f t="shared" si="12"/>
        <v>-1.2300783664969899</v>
      </c>
      <c r="F145">
        <f t="shared" si="13"/>
        <v>-0.22563244890617692</v>
      </c>
      <c r="G145">
        <f t="shared" si="14"/>
        <v>-1026.3404866540934</v>
      </c>
    </row>
    <row r="146" spans="1:7" x14ac:dyDescent="0.3">
      <c r="A146">
        <v>0.71499999999999997</v>
      </c>
      <c r="B146">
        <v>850.83</v>
      </c>
      <c r="C146">
        <f t="shared" si="10"/>
        <v>168.40894736842131</v>
      </c>
      <c r="D146">
        <f t="shared" si="11"/>
        <v>1.1513093475242963E-2</v>
      </c>
      <c r="E146">
        <f t="shared" si="12"/>
        <v>-1.2185652730217469</v>
      </c>
      <c r="F146">
        <f t="shared" si="13"/>
        <v>-0.23175405800497376</v>
      </c>
      <c r="G146">
        <f t="shared" si="14"/>
        <v>-1036.791891245093</v>
      </c>
    </row>
    <row r="147" spans="1:7" x14ac:dyDescent="0.3">
      <c r="A147">
        <v>0.72</v>
      </c>
      <c r="B147">
        <v>874.47</v>
      </c>
      <c r="C147">
        <f t="shared" si="10"/>
        <v>192.0489473684213</v>
      </c>
      <c r="D147">
        <f t="shared" si="11"/>
        <v>1.2954216219342918E-2</v>
      </c>
      <c r="E147">
        <f t="shared" si="12"/>
        <v>-1.2056110568024039</v>
      </c>
      <c r="F147">
        <f t="shared" si="13"/>
        <v>-0.23781449882953412</v>
      </c>
      <c r="G147">
        <f t="shared" si="14"/>
        <v>-1054.2707008419982</v>
      </c>
    </row>
    <row r="148" spans="1:7" x14ac:dyDescent="0.3">
      <c r="A148">
        <v>0.72499999999999998</v>
      </c>
      <c r="B148">
        <v>897.69</v>
      </c>
      <c r="C148">
        <f t="shared" si="10"/>
        <v>215.26894736842132</v>
      </c>
      <c r="D148">
        <f t="shared" si="11"/>
        <v>1.4638281351226306E-2</v>
      </c>
      <c r="E148">
        <f t="shared" si="12"/>
        <v>-1.1909727754511776</v>
      </c>
      <c r="F148">
        <f t="shared" si="13"/>
        <v>-0.24380595841016808</v>
      </c>
      <c r="G148">
        <f t="shared" si="14"/>
        <v>-1069.1243507947677</v>
      </c>
    </row>
    <row r="149" spans="1:7" x14ac:dyDescent="0.3">
      <c r="A149">
        <v>0.73</v>
      </c>
      <c r="B149">
        <v>929.18</v>
      </c>
      <c r="C149">
        <f t="shared" si="10"/>
        <v>246.75894736842122</v>
      </c>
      <c r="D149">
        <f t="shared" si="11"/>
        <v>1.6604461534012051E-2</v>
      </c>
      <c r="E149">
        <f t="shared" si="12"/>
        <v>-1.1743683139171657</v>
      </c>
      <c r="F149">
        <f t="shared" si="13"/>
        <v>-0.24971931113358894</v>
      </c>
      <c r="G149">
        <f t="shared" si="14"/>
        <v>-1091.199549925552</v>
      </c>
    </row>
    <row r="150" spans="1:7" x14ac:dyDescent="0.3">
      <c r="A150">
        <v>0.73499999999999999</v>
      </c>
      <c r="B150">
        <v>962.01</v>
      </c>
      <c r="C150">
        <f t="shared" si="10"/>
        <v>279.58894736842126</v>
      </c>
      <c r="D150">
        <f t="shared" si="11"/>
        <v>1.8916008040259155E-2</v>
      </c>
      <c r="E150">
        <f t="shared" si="12"/>
        <v>-1.1554523058769066</v>
      </c>
      <c r="F150">
        <f t="shared" si="13"/>
        <v>-0.25554386268307411</v>
      </c>
      <c r="G150">
        <f t="shared" si="14"/>
        <v>-1111.5566727766429</v>
      </c>
    </row>
    <row r="151" spans="1:7" x14ac:dyDescent="0.3">
      <c r="A151">
        <v>0.74</v>
      </c>
      <c r="B151">
        <v>1001.6</v>
      </c>
      <c r="C151">
        <f t="shared" si="10"/>
        <v>319.17894736842129</v>
      </c>
      <c r="D151">
        <f t="shared" si="11"/>
        <v>2.1518654153169853E-2</v>
      </c>
      <c r="E151">
        <f t="shared" si="12"/>
        <v>-1.1339336517237368</v>
      </c>
      <c r="F151">
        <f t="shared" si="13"/>
        <v>-0.26126732757707571</v>
      </c>
      <c r="G151">
        <f t="shared" si="14"/>
        <v>-1135.7479455664948</v>
      </c>
    </row>
    <row r="152" spans="1:7" x14ac:dyDescent="0.3">
      <c r="A152">
        <v>0.745</v>
      </c>
      <c r="B152">
        <v>1040.46</v>
      </c>
      <c r="C152">
        <f t="shared" si="10"/>
        <v>358.0389473684213</v>
      </c>
      <c r="D152">
        <f t="shared" si="11"/>
        <v>2.4338007751041207E-2</v>
      </c>
      <c r="E152">
        <f t="shared" si="12"/>
        <v>-1.1095956439726957</v>
      </c>
      <c r="F152">
        <f t="shared" si="13"/>
        <v>-0.26687615081631677</v>
      </c>
      <c r="G152">
        <f t="shared" si="14"/>
        <v>-1154.4898837278311</v>
      </c>
    </row>
    <row r="153" spans="1:7" x14ac:dyDescent="0.3">
      <c r="A153">
        <v>0.75</v>
      </c>
      <c r="B153">
        <v>1073.5899999999999</v>
      </c>
      <c r="C153">
        <f t="shared" si="10"/>
        <v>391.16894736842119</v>
      </c>
      <c r="D153">
        <f t="shared" si="11"/>
        <v>2.6925200428042594E-2</v>
      </c>
      <c r="E153">
        <f t="shared" si="12"/>
        <v>-1.082670443544653</v>
      </c>
      <c r="F153">
        <f t="shared" si="13"/>
        <v>-0.27235681603511014</v>
      </c>
      <c r="G153">
        <f t="shared" si="14"/>
        <v>-1162.344161485104</v>
      </c>
    </row>
    <row r="154" spans="1:7" x14ac:dyDescent="0.3">
      <c r="A154">
        <v>0.755</v>
      </c>
      <c r="B154">
        <v>1116.1400000000001</v>
      </c>
      <c r="C154">
        <f t="shared" si="10"/>
        <v>433.71894736842137</v>
      </c>
      <c r="D154">
        <f t="shared" si="11"/>
        <v>2.9645005148079617E-2</v>
      </c>
      <c r="E154">
        <f t="shared" si="12"/>
        <v>-1.0530254383965734</v>
      </c>
      <c r="F154">
        <f t="shared" si="13"/>
        <v>-0.2776960557399632</v>
      </c>
      <c r="G154">
        <f t="shared" si="14"/>
        <v>-1175.3238128119515</v>
      </c>
    </row>
    <row r="155" spans="1:7" x14ac:dyDescent="0.3">
      <c r="A155">
        <v>0.76</v>
      </c>
      <c r="B155">
        <v>1162.1400000000001</v>
      </c>
      <c r="C155">
        <f t="shared" si="10"/>
        <v>479.71894736842137</v>
      </c>
      <c r="D155">
        <f t="shared" si="11"/>
        <v>3.2827334798704338E-2</v>
      </c>
      <c r="E155">
        <f t="shared" si="12"/>
        <v>-1.0201981035978691</v>
      </c>
      <c r="F155">
        <f t="shared" si="13"/>
        <v>-0.2828791145949493</v>
      </c>
      <c r="G155">
        <f t="shared" si="14"/>
        <v>-1185.6130241152277</v>
      </c>
    </row>
    <row r="156" spans="1:7" x14ac:dyDescent="0.3">
      <c r="A156">
        <v>0.76500000000000001</v>
      </c>
      <c r="B156">
        <v>1208.97</v>
      </c>
      <c r="C156">
        <f t="shared" si="10"/>
        <v>526.5489473684213</v>
      </c>
      <c r="D156">
        <f t="shared" si="11"/>
        <v>3.6163480043961159E-2</v>
      </c>
      <c r="E156">
        <f t="shared" si="12"/>
        <v>-0.98403462355390792</v>
      </c>
      <c r="F156">
        <f t="shared" si="13"/>
        <v>-0.28788969641282874</v>
      </c>
      <c r="G156">
        <f t="shared" si="14"/>
        <v>-1189.6683388379681</v>
      </c>
    </row>
    <row r="157" spans="1:7" x14ac:dyDescent="0.3">
      <c r="A157">
        <v>0.77</v>
      </c>
      <c r="B157">
        <v>1246.6300000000001</v>
      </c>
      <c r="C157">
        <f t="shared" si="10"/>
        <v>564.20894736842138</v>
      </c>
      <c r="D157">
        <f t="shared" si="11"/>
        <v>3.9199900509023632E-2</v>
      </c>
      <c r="E157">
        <f t="shared" si="12"/>
        <v>-0.94483472304488425</v>
      </c>
      <c r="F157">
        <f t="shared" si="13"/>
        <v>-0.29271186977932573</v>
      </c>
      <c r="G157">
        <f t="shared" si="14"/>
        <v>-1177.8593107894442</v>
      </c>
    </row>
    <row r="158" spans="1:7" x14ac:dyDescent="0.3">
      <c r="A158">
        <v>0.77500000000000002</v>
      </c>
      <c r="B158">
        <v>1302.0899999999999</v>
      </c>
      <c r="C158">
        <f t="shared" si="10"/>
        <v>619.66894736842119</v>
      </c>
      <c r="D158">
        <f t="shared" si="11"/>
        <v>4.2546467838963473E-2</v>
      </c>
      <c r="E158">
        <f t="shared" si="12"/>
        <v>-0.90228825520592082</v>
      </c>
      <c r="F158">
        <f t="shared" si="13"/>
        <v>-0.29732967722495274</v>
      </c>
      <c r="G158">
        <f t="shared" si="14"/>
        <v>-1174.8605142210774</v>
      </c>
    </row>
    <row r="159" spans="1:7" x14ac:dyDescent="0.3">
      <c r="A159">
        <v>0.78</v>
      </c>
      <c r="B159">
        <v>1365.87</v>
      </c>
      <c r="C159">
        <f t="shared" si="10"/>
        <v>683.44894736842116</v>
      </c>
      <c r="D159">
        <f t="shared" si="11"/>
        <v>4.683174155483575E-2</v>
      </c>
      <c r="E159">
        <f t="shared" si="12"/>
        <v>-0.8554565136510851</v>
      </c>
      <c r="F159">
        <f t="shared" si="13"/>
        <v>-0.30172403914709522</v>
      </c>
      <c r="G159">
        <f t="shared" si="14"/>
        <v>-1168.4423883006075</v>
      </c>
    </row>
    <row r="160" spans="1:7" x14ac:dyDescent="0.3">
      <c r="A160">
        <v>0.78500000000000003</v>
      </c>
      <c r="B160">
        <v>1436.53</v>
      </c>
      <c r="C160">
        <f t="shared" si="10"/>
        <v>754.10894736842124</v>
      </c>
      <c r="D160">
        <f t="shared" si="11"/>
        <v>5.1663276260990307E-2</v>
      </c>
      <c r="E160">
        <f t="shared" si="12"/>
        <v>-0.80379323739009478</v>
      </c>
      <c r="F160">
        <f t="shared" si="13"/>
        <v>-0.30587216352469815</v>
      </c>
      <c r="G160">
        <f t="shared" si="14"/>
        <v>-1154.6730993079927</v>
      </c>
    </row>
    <row r="161" spans="1:7" x14ac:dyDescent="0.3">
      <c r="A161">
        <v>0.79</v>
      </c>
      <c r="B161">
        <v>1506.53</v>
      </c>
      <c r="C161">
        <f t="shared" si="10"/>
        <v>824.10894736842124</v>
      </c>
      <c r="D161">
        <f t="shared" si="11"/>
        <v>5.6718346714484058E-2</v>
      </c>
      <c r="E161">
        <f t="shared" si="12"/>
        <v>-0.74707489067561073</v>
      </c>
      <c r="F161">
        <f t="shared" si="13"/>
        <v>-0.30974933384486242</v>
      </c>
      <c r="G161">
        <f t="shared" si="14"/>
        <v>-1125.4907350495278</v>
      </c>
    </row>
    <row r="162" spans="1:7" x14ac:dyDescent="0.3">
      <c r="A162">
        <v>0.79500000000000004</v>
      </c>
      <c r="B162">
        <v>1567.46</v>
      </c>
      <c r="C162">
        <f t="shared" si="10"/>
        <v>885.0389473684213</v>
      </c>
      <c r="D162">
        <f t="shared" si="11"/>
        <v>6.1423738257751069E-2</v>
      </c>
      <c r="E162">
        <f t="shared" si="12"/>
        <v>-0.68565115241785968</v>
      </c>
      <c r="F162">
        <f t="shared" si="13"/>
        <v>-0.31333114895259612</v>
      </c>
      <c r="G162">
        <f t="shared" si="14"/>
        <v>-1074.7307553688984</v>
      </c>
    </row>
    <row r="163" spans="1:7" x14ac:dyDescent="0.3">
      <c r="A163">
        <v>0.8</v>
      </c>
      <c r="B163">
        <v>1619.98</v>
      </c>
      <c r="C163">
        <f t="shared" si="10"/>
        <v>937.55894736842129</v>
      </c>
      <c r="D163">
        <f t="shared" si="11"/>
        <v>6.5500929662193452E-2</v>
      </c>
      <c r="E163">
        <f t="shared" si="12"/>
        <v>-0.62015022275566623</v>
      </c>
      <c r="F163">
        <f t="shared" si="13"/>
        <v>-0.31659565239052995</v>
      </c>
      <c r="G163">
        <f t="shared" si="14"/>
        <v>-1004.6309578597242</v>
      </c>
    </row>
    <row r="164" spans="1:7" x14ac:dyDescent="0.3">
      <c r="A164">
        <v>0.80500000000000005</v>
      </c>
      <c r="B164">
        <v>1644.68</v>
      </c>
      <c r="C164">
        <f t="shared" si="10"/>
        <v>962.25894736842133</v>
      </c>
      <c r="D164">
        <f t="shared" si="11"/>
        <v>6.8276079245719615E-2</v>
      </c>
      <c r="E164">
        <f t="shared" si="12"/>
        <v>-0.55187414350994657</v>
      </c>
      <c r="F164">
        <f t="shared" si="13"/>
        <v>-0.319525713306194</v>
      </c>
      <c r="G164">
        <f t="shared" si="14"/>
        <v>-907.65636634793896</v>
      </c>
    </row>
    <row r="165" spans="1:7" x14ac:dyDescent="0.3">
      <c r="A165">
        <v>0.81</v>
      </c>
      <c r="B165">
        <v>1676.98</v>
      </c>
      <c r="C165">
        <f t="shared" si="10"/>
        <v>994.55894736842129</v>
      </c>
      <c r="D165">
        <f t="shared" si="11"/>
        <v>7.0324557959278153E-2</v>
      </c>
      <c r="E165">
        <f t="shared" si="12"/>
        <v>-0.4815495855506684</v>
      </c>
      <c r="F165">
        <f t="shared" si="13"/>
        <v>-0.32210927262884553</v>
      </c>
      <c r="G165">
        <f t="shared" si="14"/>
        <v>-807.54902397675994</v>
      </c>
    </row>
    <row r="166" spans="1:7" x14ac:dyDescent="0.3">
      <c r="A166">
        <v>0.81499999999999995</v>
      </c>
      <c r="B166">
        <v>1700.72</v>
      </c>
      <c r="C166">
        <f t="shared" si="10"/>
        <v>1018.2989473684213</v>
      </c>
      <c r="D166">
        <f t="shared" si="11"/>
        <v>7.2338535978713592E-2</v>
      </c>
      <c r="E166">
        <f t="shared" si="12"/>
        <v>-0.40921104957195481</v>
      </c>
      <c r="F166">
        <f t="shared" si="13"/>
        <v>-0.32433617421665212</v>
      </c>
      <c r="G166">
        <f t="shared" si="14"/>
        <v>-695.95341622801504</v>
      </c>
    </row>
    <row r="167" spans="1:7" x14ac:dyDescent="0.3">
      <c r="A167">
        <v>0.82</v>
      </c>
      <c r="B167">
        <v>1720.84</v>
      </c>
      <c r="C167">
        <f t="shared" si="10"/>
        <v>1038.4189473684212</v>
      </c>
      <c r="D167">
        <f t="shared" si="11"/>
        <v>7.3914786441462321E-2</v>
      </c>
      <c r="E167">
        <f t="shared" si="12"/>
        <v>-0.33529626313049249</v>
      </c>
      <c r="F167">
        <f t="shared" si="13"/>
        <v>-0.32619744249840826</v>
      </c>
      <c r="G167">
        <f t="shared" si="14"/>
        <v>-576.99122144547664</v>
      </c>
    </row>
    <row r="168" spans="1:7" x14ac:dyDescent="0.3">
      <c r="A168">
        <v>0.82499999999999996</v>
      </c>
      <c r="B168">
        <v>1730.49</v>
      </c>
      <c r="C168">
        <f t="shared" si="10"/>
        <v>1048.0689473684213</v>
      </c>
      <c r="D168">
        <f t="shared" si="11"/>
        <v>7.498466734150859E-2</v>
      </c>
      <c r="E168">
        <f t="shared" si="12"/>
        <v>-0.26031159578898388</v>
      </c>
      <c r="F168">
        <f t="shared" si="13"/>
        <v>-0.32768646214570696</v>
      </c>
      <c r="G168">
        <f t="shared" si="14"/>
        <v>-450.4666133968787</v>
      </c>
    </row>
    <row r="169" spans="1:7" x14ac:dyDescent="0.3">
      <c r="A169">
        <v>0.83</v>
      </c>
      <c r="B169">
        <v>1733.51</v>
      </c>
      <c r="C169">
        <f t="shared" si="10"/>
        <v>1051.0889473684213</v>
      </c>
      <c r="D169">
        <f t="shared" si="11"/>
        <v>7.5440004627487303E-2</v>
      </c>
      <c r="E169">
        <f t="shared" si="12"/>
        <v>-0.1848715911614966</v>
      </c>
      <c r="F169">
        <f t="shared" si="13"/>
        <v>-0.32879942011308316</v>
      </c>
      <c r="G169">
        <f t="shared" si="14"/>
        <v>-320.47675199436594</v>
      </c>
    </row>
    <row r="170" spans="1:7" x14ac:dyDescent="0.3">
      <c r="A170">
        <v>0.83499999999999996</v>
      </c>
      <c r="B170">
        <v>1735.24</v>
      </c>
      <c r="C170">
        <f t="shared" si="10"/>
        <v>1052.8189473684213</v>
      </c>
      <c r="D170">
        <f t="shared" si="11"/>
        <v>7.5610711186950522E-2</v>
      </c>
      <c r="E170">
        <f t="shared" si="12"/>
        <v>-0.10926087997454607</v>
      </c>
      <c r="F170">
        <f t="shared" si="13"/>
        <v>-0.32953475129092324</v>
      </c>
      <c r="G170">
        <f t="shared" si="14"/>
        <v>-189.59384936703134</v>
      </c>
    </row>
    <row r="171" spans="1:7" x14ac:dyDescent="0.3">
      <c r="A171">
        <v>0.84</v>
      </c>
      <c r="B171">
        <v>1751.33</v>
      </c>
      <c r="C171">
        <f t="shared" si="10"/>
        <v>1068.9089473684212</v>
      </c>
      <c r="D171">
        <f t="shared" si="11"/>
        <v>7.6251130321610391E-2</v>
      </c>
      <c r="E171">
        <f t="shared" si="12"/>
        <v>-3.3009749652935683E-2</v>
      </c>
      <c r="F171">
        <f t="shared" si="13"/>
        <v>-0.32989042786499195</v>
      </c>
      <c r="G171">
        <f t="shared" si="14"/>
        <v>-57.810964859675849</v>
      </c>
    </row>
    <row r="172" spans="1:7" x14ac:dyDescent="0.3">
      <c r="A172">
        <v>0.84499999999999997</v>
      </c>
      <c r="B172">
        <v>1749.78</v>
      </c>
      <c r="C172">
        <f t="shared" si="10"/>
        <v>1067.3589473684212</v>
      </c>
      <c r="D172">
        <f t="shared" si="11"/>
        <v>7.6773672084683039E-2</v>
      </c>
      <c r="E172">
        <f t="shared" si="12"/>
        <v>4.3763922431747357E-2</v>
      </c>
      <c r="F172">
        <f t="shared" si="13"/>
        <v>-0.32986354243304494</v>
      </c>
      <c r="G172">
        <f t="shared" si="14"/>
        <v>76.577236192622891</v>
      </c>
    </row>
    <row r="173" spans="1:7" x14ac:dyDescent="0.3">
      <c r="A173">
        <v>0.85</v>
      </c>
      <c r="B173">
        <v>1747.31</v>
      </c>
      <c r="C173">
        <f t="shared" si="10"/>
        <v>1064.8889473684212</v>
      </c>
      <c r="D173">
        <f t="shared" si="11"/>
        <v>7.662920042804261E-2</v>
      </c>
      <c r="E173">
        <f t="shared" si="12"/>
        <v>0.12039312285978997</v>
      </c>
      <c r="F173">
        <f t="shared" si="13"/>
        <v>-0.3294531498198161</v>
      </c>
      <c r="G173">
        <f t="shared" si="14"/>
        <v>210.36410750413961</v>
      </c>
    </row>
    <row r="174" spans="1:7" x14ac:dyDescent="0.3">
      <c r="A174">
        <v>0.85499999999999998</v>
      </c>
      <c r="B174">
        <v>1736.26</v>
      </c>
      <c r="C174">
        <f t="shared" si="10"/>
        <v>1053.8389473684213</v>
      </c>
      <c r="D174">
        <f t="shared" si="11"/>
        <v>7.6143315652475729E-2</v>
      </c>
      <c r="E174">
        <f t="shared" si="12"/>
        <v>0.19653643851226571</v>
      </c>
      <c r="F174">
        <f t="shared" si="13"/>
        <v>-0.32866082591638596</v>
      </c>
      <c r="G174">
        <f t="shared" si="14"/>
        <v>341.23835673130645</v>
      </c>
    </row>
    <row r="175" spans="1:7" x14ac:dyDescent="0.3">
      <c r="A175">
        <v>0.86</v>
      </c>
      <c r="B175">
        <v>1730.97</v>
      </c>
      <c r="C175">
        <f t="shared" si="10"/>
        <v>1048.5489473684213</v>
      </c>
      <c r="D175">
        <f t="shared" si="11"/>
        <v>7.555608508792229E-2</v>
      </c>
      <c r="E175">
        <f t="shared" si="12"/>
        <v>0.27209252360018799</v>
      </c>
      <c r="F175">
        <f t="shared" si="13"/>
        <v>-0.32748925351110481</v>
      </c>
      <c r="G175">
        <f t="shared" si="14"/>
        <v>470.98399557621741</v>
      </c>
    </row>
    <row r="176" spans="1:7" x14ac:dyDescent="0.3">
      <c r="A176">
        <v>0.86499999999999999</v>
      </c>
      <c r="B176">
        <v>1723.8</v>
      </c>
      <c r="C176">
        <f t="shared" si="10"/>
        <v>1041.3789473684212</v>
      </c>
      <c r="D176">
        <f t="shared" si="11"/>
        <v>7.5108294828783007E-2</v>
      </c>
      <c r="E176">
        <f t="shared" si="12"/>
        <v>0.34720081842897099</v>
      </c>
      <c r="F176">
        <f t="shared" si="13"/>
        <v>-0.32594102015603194</v>
      </c>
      <c r="G176">
        <f t="shared" si="14"/>
        <v>598.50477080786015</v>
      </c>
    </row>
    <row r="177" spans="1:7" x14ac:dyDescent="0.3">
      <c r="A177">
        <v>0.87</v>
      </c>
      <c r="B177">
        <v>1715.78</v>
      </c>
      <c r="C177">
        <f t="shared" si="10"/>
        <v>1033.3589473684212</v>
      </c>
      <c r="D177">
        <f t="shared" si="11"/>
        <v>7.4562393220731174E-2</v>
      </c>
      <c r="E177">
        <f t="shared" si="12"/>
        <v>0.42176321164970215</v>
      </c>
      <c r="F177">
        <f t="shared" si="13"/>
        <v>-0.32401861008083527</v>
      </c>
      <c r="G177">
        <f t="shared" si="14"/>
        <v>723.65288328432598</v>
      </c>
    </row>
    <row r="178" spans="1:7" x14ac:dyDescent="0.3">
      <c r="A178">
        <v>0.875</v>
      </c>
      <c r="B178">
        <v>1707.41</v>
      </c>
      <c r="C178">
        <f t="shared" si="10"/>
        <v>1024.9889473684213</v>
      </c>
      <c r="D178">
        <f t="shared" si="11"/>
        <v>7.3973365745025485E-2</v>
      </c>
      <c r="E178">
        <f t="shared" si="12"/>
        <v>0.49573657739472765</v>
      </c>
      <c r="F178">
        <f t="shared" si="13"/>
        <v>-0.32172486060822419</v>
      </c>
      <c r="G178">
        <f t="shared" si="14"/>
        <v>846.42558960953193</v>
      </c>
    </row>
    <row r="179" spans="1:7" x14ac:dyDescent="0.3">
      <c r="A179">
        <v>0.88</v>
      </c>
      <c r="B179">
        <v>1695.1</v>
      </c>
      <c r="C179">
        <f t="shared" si="10"/>
        <v>1012.6789473684212</v>
      </c>
      <c r="D179">
        <f t="shared" si="11"/>
        <v>7.3230163292457226E-2</v>
      </c>
      <c r="E179">
        <f t="shared" si="12"/>
        <v>0.56896674068718489</v>
      </c>
      <c r="F179">
        <f t="shared" si="13"/>
        <v>-0.31906310231301943</v>
      </c>
      <c r="G179">
        <f t="shared" si="14"/>
        <v>964.45552213884707</v>
      </c>
    </row>
    <row r="180" spans="1:7" x14ac:dyDescent="0.3">
      <c r="A180">
        <v>0.88500000000000001</v>
      </c>
      <c r="B180">
        <v>1679.14</v>
      </c>
      <c r="C180">
        <f t="shared" si="10"/>
        <v>996.71894736842137</v>
      </c>
      <c r="D180">
        <f t="shared" si="11"/>
        <v>7.2214189726978281E-2</v>
      </c>
      <c r="E180">
        <f t="shared" si="12"/>
        <v>0.64118093041416313</v>
      </c>
      <c r="F180">
        <f t="shared" si="13"/>
        <v>-0.31603773313526606</v>
      </c>
      <c r="G180">
        <f t="shared" si="14"/>
        <v>1076.6325474956379</v>
      </c>
    </row>
    <row r="181" spans="1:7" x14ac:dyDescent="0.3">
      <c r="A181">
        <v>0.89</v>
      </c>
      <c r="B181">
        <v>1659.51</v>
      </c>
      <c r="C181">
        <f t="shared" si="10"/>
        <v>977.08894736842126</v>
      </c>
      <c r="D181">
        <f t="shared" si="11"/>
        <v>7.0935148368810777E-2</v>
      </c>
      <c r="E181">
        <f t="shared" si="12"/>
        <v>0.71211607878297389</v>
      </c>
      <c r="F181">
        <f t="shared" si="13"/>
        <v>-0.31265449061227324</v>
      </c>
      <c r="G181">
        <f t="shared" si="14"/>
        <v>1181.763753901133</v>
      </c>
    </row>
    <row r="182" spans="1:7" x14ac:dyDescent="0.3">
      <c r="A182">
        <v>0.89500000000000002</v>
      </c>
      <c r="B182">
        <v>1639.6</v>
      </c>
      <c r="C182">
        <f t="shared" si="10"/>
        <v>957.17894736842118</v>
      </c>
      <c r="D182">
        <f t="shared" si="11"/>
        <v>6.9514151029615945E-2</v>
      </c>
      <c r="E182">
        <f t="shared" si="12"/>
        <v>0.78163022981258989</v>
      </c>
      <c r="F182">
        <f t="shared" si="13"/>
        <v>-0.30892012484078435</v>
      </c>
      <c r="G182">
        <f t="shared" si="14"/>
        <v>1281.5609248007224</v>
      </c>
    </row>
    <row r="183" spans="1:7" x14ac:dyDescent="0.3">
      <c r="A183">
        <v>0.9</v>
      </c>
      <c r="B183">
        <v>1618.07</v>
      </c>
      <c r="C183">
        <f t="shared" si="10"/>
        <v>935.6489473684212</v>
      </c>
      <c r="D183">
        <f t="shared" si="11"/>
        <v>6.8024871066635836E-2</v>
      </c>
      <c r="E183">
        <f t="shared" si="12"/>
        <v>0.84965510087922569</v>
      </c>
      <c r="F183">
        <f t="shared" si="13"/>
        <v>-0.30484191151405482</v>
      </c>
      <c r="G183">
        <f t="shared" si="14"/>
        <v>1374.8014290796486</v>
      </c>
    </row>
    <row r="184" spans="1:7" x14ac:dyDescent="0.3">
      <c r="A184">
        <v>0.90500000000000003</v>
      </c>
      <c r="B184">
        <v>1603.52</v>
      </c>
      <c r="C184">
        <f t="shared" si="10"/>
        <v>921.09894736842125</v>
      </c>
      <c r="D184">
        <f t="shared" si="11"/>
        <v>6.6728219979176343E-2</v>
      </c>
      <c r="E184">
        <f t="shared" si="12"/>
        <v>0.91638332085840202</v>
      </c>
      <c r="F184">
        <f t="shared" si="13"/>
        <v>-0.30042681545971073</v>
      </c>
      <c r="G184">
        <f t="shared" si="14"/>
        <v>1469.4389826628649</v>
      </c>
    </row>
    <row r="185" spans="1:7" x14ac:dyDescent="0.3">
      <c r="A185">
        <v>0.91</v>
      </c>
      <c r="B185">
        <v>1582.35</v>
      </c>
      <c r="C185">
        <f t="shared" si="10"/>
        <v>899.92894736842118</v>
      </c>
      <c r="D185">
        <f t="shared" si="11"/>
        <v>6.5444506652012985E-2</v>
      </c>
      <c r="E185">
        <f t="shared" si="12"/>
        <v>0.98182782751041497</v>
      </c>
      <c r="F185">
        <f t="shared" si="13"/>
        <v>-0.2956812875887887</v>
      </c>
      <c r="G185">
        <f t="shared" si="14"/>
        <v>1553.5952628611051</v>
      </c>
    </row>
    <row r="186" spans="1:7" x14ac:dyDescent="0.3">
      <c r="A186">
        <v>0.91500000000000004</v>
      </c>
      <c r="B186">
        <v>1561.33</v>
      </c>
      <c r="C186">
        <f t="shared" si="10"/>
        <v>878.9089473684212</v>
      </c>
      <c r="D186">
        <f t="shared" si="11"/>
        <v>6.3928273021749207E-2</v>
      </c>
      <c r="E186">
        <f t="shared" si="12"/>
        <v>1.0457561005321643</v>
      </c>
      <c r="F186">
        <f t="shared" si="13"/>
        <v>-0.29061232776868223</v>
      </c>
      <c r="G186">
        <f t="shared" si="14"/>
        <v>1632.7703724438841</v>
      </c>
    </row>
    <row r="187" spans="1:7" x14ac:dyDescent="0.3">
      <c r="A187">
        <v>0.92</v>
      </c>
      <c r="B187">
        <v>1540.09</v>
      </c>
      <c r="C187">
        <f t="shared" si="10"/>
        <v>857.66894736842119</v>
      </c>
      <c r="D187">
        <f t="shared" si="11"/>
        <v>6.2409523715872307E-2</v>
      </c>
      <c r="E187">
        <f t="shared" si="12"/>
        <v>1.1081656242480367</v>
      </c>
      <c r="F187">
        <f t="shared" si="13"/>
        <v>-0.28522752345673175</v>
      </c>
      <c r="G187">
        <f t="shared" si="14"/>
        <v>1706.6747962481586</v>
      </c>
    </row>
    <row r="188" spans="1:7" x14ac:dyDescent="0.3">
      <c r="A188">
        <v>0.92500000000000004</v>
      </c>
      <c r="B188">
        <v>1526.79</v>
      </c>
      <c r="C188">
        <f t="shared" si="10"/>
        <v>844.36894736842123</v>
      </c>
      <c r="D188">
        <f t="shared" si="11"/>
        <v>6.1168217491901926E-2</v>
      </c>
      <c r="E188">
        <f t="shared" si="12"/>
        <v>1.1693338417399386</v>
      </c>
      <c r="F188">
        <f t="shared" si="13"/>
        <v>-0.27953377479176184</v>
      </c>
      <c r="G188">
        <f t="shared" si="14"/>
        <v>1785.3272162301207</v>
      </c>
    </row>
    <row r="189" spans="1:7" x14ac:dyDescent="0.3">
      <c r="A189">
        <v>0.93</v>
      </c>
      <c r="B189">
        <v>1505.57</v>
      </c>
      <c r="C189">
        <f t="shared" si="10"/>
        <v>823.1489473684212</v>
      </c>
      <c r="D189">
        <f t="shared" si="11"/>
        <v>5.9927630032392439E-2</v>
      </c>
      <c r="E189">
        <f t="shared" si="12"/>
        <v>1.2292614717723311</v>
      </c>
      <c r="F189">
        <f t="shared" si="13"/>
        <v>-0.27353728650798115</v>
      </c>
      <c r="G189">
        <f t="shared" si="14"/>
        <v>1850.7391940562686</v>
      </c>
    </row>
    <row r="190" spans="1:7" x14ac:dyDescent="0.3">
      <c r="A190">
        <v>0.93500000000000005</v>
      </c>
      <c r="B190">
        <v>1485.16</v>
      </c>
      <c r="C190">
        <f t="shared" si="10"/>
        <v>802.73894736842135</v>
      </c>
      <c r="D190">
        <f t="shared" si="11"/>
        <v>5.8431521807033815E-2</v>
      </c>
      <c r="E190">
        <f t="shared" si="12"/>
        <v>1.2876929935793648</v>
      </c>
      <c r="F190">
        <f t="shared" si="13"/>
        <v>-0.26724490034460191</v>
      </c>
      <c r="G190">
        <f t="shared" si="14"/>
        <v>1912.4301263443297</v>
      </c>
    </row>
    <row r="191" spans="1:7" x14ac:dyDescent="0.3">
      <c r="A191">
        <v>0.94</v>
      </c>
      <c r="B191">
        <v>1466.89</v>
      </c>
      <c r="C191">
        <f t="shared" si="10"/>
        <v>784.46894736842137</v>
      </c>
      <c r="D191">
        <f t="shared" si="11"/>
        <v>5.7041431339657604E-2</v>
      </c>
      <c r="E191">
        <f t="shared" si="12"/>
        <v>1.3447344249190225</v>
      </c>
      <c r="F191">
        <f t="shared" si="13"/>
        <v>-0.26066383179835595</v>
      </c>
      <c r="G191">
        <f t="shared" si="14"/>
        <v>1972.577480569465</v>
      </c>
    </row>
    <row r="192" spans="1:7" x14ac:dyDescent="0.3">
      <c r="A192">
        <v>0.94499999999999995</v>
      </c>
      <c r="B192">
        <v>1454.46</v>
      </c>
      <c r="C192">
        <f t="shared" si="10"/>
        <v>772.0389473684213</v>
      </c>
      <c r="D192">
        <f t="shared" si="11"/>
        <v>5.5938127892179584E-2</v>
      </c>
      <c r="E192">
        <f t="shared" si="12"/>
        <v>1.4006725528112021</v>
      </c>
      <c r="F192">
        <f t="shared" si="13"/>
        <v>-0.25380031435403039</v>
      </c>
      <c r="G192">
        <f t="shared" si="14"/>
        <v>2037.222201161781</v>
      </c>
    </row>
    <row r="193" spans="1:7" x14ac:dyDescent="0.3">
      <c r="A193">
        <v>0.95</v>
      </c>
      <c r="B193">
        <v>1440.48</v>
      </c>
      <c r="C193">
        <f t="shared" si="10"/>
        <v>758.05894736842129</v>
      </c>
      <c r="D193">
        <f t="shared" si="11"/>
        <v>5.4988999421564121E-2</v>
      </c>
      <c r="E193">
        <f t="shared" si="12"/>
        <v>1.4556615522327663</v>
      </c>
      <c r="F193">
        <f t="shared" si="13"/>
        <v>-0.24665947909142047</v>
      </c>
      <c r="G193">
        <f t="shared" si="14"/>
        <v>2096.8513527602554</v>
      </c>
    </row>
    <row r="194" spans="1:7" x14ac:dyDescent="0.3">
      <c r="A194">
        <v>0.95499999999999996</v>
      </c>
      <c r="B194">
        <v>1429.95</v>
      </c>
      <c r="C194">
        <f t="shared" si="10"/>
        <v>747.52894736842131</v>
      </c>
      <c r="D194">
        <f t="shared" si="11"/>
        <v>5.4108153574733954E-2</v>
      </c>
      <c r="E194">
        <f t="shared" si="12"/>
        <v>1.5097697058075001</v>
      </c>
      <c r="F194">
        <f t="shared" si="13"/>
        <v>-0.23924590094631981</v>
      </c>
      <c r="G194">
        <f t="shared" si="14"/>
        <v>2158.8951908194349</v>
      </c>
    </row>
    <row r="195" spans="1:7" x14ac:dyDescent="0.3">
      <c r="A195">
        <v>0.96</v>
      </c>
      <c r="B195">
        <v>1421.65</v>
      </c>
      <c r="C195">
        <f t="shared" si="10"/>
        <v>739.22894736842136</v>
      </c>
      <c r="D195">
        <f t="shared" si="11"/>
        <v>5.3431436834798743E-2</v>
      </c>
      <c r="E195">
        <f t="shared" si="12"/>
        <v>1.5632011426422989</v>
      </c>
      <c r="F195">
        <f t="shared" si="13"/>
        <v>-0.23156347382519532</v>
      </c>
      <c r="G195">
        <f t="shared" si="14"/>
        <v>2222.3249044374243</v>
      </c>
    </row>
    <row r="196" spans="1:7" x14ac:dyDescent="0.3">
      <c r="A196">
        <v>0.96499999999999997</v>
      </c>
      <c r="B196">
        <v>1415.13</v>
      </c>
      <c r="C196">
        <f t="shared" ref="C196:C259" si="15">B196+$C$1</f>
        <v>732.70894736842138</v>
      </c>
      <c r="D196">
        <f t="shared" si="11"/>
        <v>5.2898832369273521E-2</v>
      </c>
      <c r="E196">
        <f t="shared" si="12"/>
        <v>1.6160999750115725</v>
      </c>
      <c r="F196">
        <f t="shared" si="13"/>
        <v>-0.22361522103106063</v>
      </c>
      <c r="G196">
        <f t="shared" si="14"/>
        <v>2286.9915576381268</v>
      </c>
    </row>
    <row r="197" spans="1:7" x14ac:dyDescent="0.3">
      <c r="A197">
        <v>0.97</v>
      </c>
      <c r="B197">
        <v>1409.58</v>
      </c>
      <c r="C197">
        <f t="shared" si="15"/>
        <v>727.1589473684212</v>
      </c>
      <c r="D197">
        <f t="shared" ref="D197:D260" si="16">1/$E$1*(C196+C197)*0.005/2</f>
        <v>5.246505801712173E-2</v>
      </c>
      <c r="E197">
        <f t="shared" ref="E197:E260" si="17">E196+D197</f>
        <v>1.6685650330286943</v>
      </c>
      <c r="F197">
        <f t="shared" ref="F197:F260" si="18">F196+(E196+E197)*0.005/2</f>
        <v>-0.21540355851095996</v>
      </c>
      <c r="G197">
        <f t="shared" ref="G197:G260" si="19">B197*E197</f>
        <v>2351.9758992565867</v>
      </c>
    </row>
    <row r="198" spans="1:7" x14ac:dyDescent="0.3">
      <c r="A198">
        <v>0.97499999999999998</v>
      </c>
      <c r="B198">
        <v>1407.13</v>
      </c>
      <c r="C198">
        <f t="shared" si="15"/>
        <v>724.70894736842138</v>
      </c>
      <c r="D198">
        <f t="shared" si="16"/>
        <v>5.2177552232762638E-2</v>
      </c>
      <c r="E198">
        <f t="shared" si="17"/>
        <v>1.7207425852614568</v>
      </c>
      <c r="F198">
        <f t="shared" si="18"/>
        <v>-0.20693028946523459</v>
      </c>
      <c r="G198">
        <f t="shared" si="19"/>
        <v>2421.3085139989539</v>
      </c>
    </row>
    <row r="199" spans="1:7" x14ac:dyDescent="0.3">
      <c r="A199">
        <v>0.98</v>
      </c>
      <c r="B199">
        <v>1407.4</v>
      </c>
      <c r="C199">
        <f t="shared" si="15"/>
        <v>724.97894736842136</v>
      </c>
      <c r="D199">
        <f t="shared" si="16"/>
        <v>5.2099206906524795E-2</v>
      </c>
      <c r="E199">
        <f t="shared" si="17"/>
        <v>1.7728417921679815</v>
      </c>
      <c r="F199">
        <f t="shared" si="18"/>
        <v>-0.198196328521661</v>
      </c>
      <c r="G199">
        <f t="shared" si="19"/>
        <v>2495.0975382972174</v>
      </c>
    </row>
    <row r="200" spans="1:7" x14ac:dyDescent="0.3">
      <c r="A200">
        <v>0.98499999999999999</v>
      </c>
      <c r="B200">
        <v>1407.09</v>
      </c>
      <c r="C200">
        <f t="shared" si="15"/>
        <v>724.66894736842119</v>
      </c>
      <c r="D200">
        <f t="shared" si="16"/>
        <v>5.2097769377602986E-2</v>
      </c>
      <c r="E200">
        <f t="shared" si="17"/>
        <v>1.8249395615455846</v>
      </c>
      <c r="F200">
        <f t="shared" si="18"/>
        <v>-0.18920187513737707</v>
      </c>
      <c r="G200">
        <f t="shared" si="19"/>
        <v>2567.8542076551767</v>
      </c>
    </row>
    <row r="201" spans="1:7" x14ac:dyDescent="0.3">
      <c r="A201">
        <v>0.99</v>
      </c>
      <c r="B201">
        <v>1408</v>
      </c>
      <c r="C201">
        <f t="shared" si="15"/>
        <v>725.57894736842127</v>
      </c>
      <c r="D201">
        <f t="shared" si="16"/>
        <v>5.2119332311429921E-2</v>
      </c>
      <c r="E201">
        <f t="shared" si="17"/>
        <v>1.8770588938570145</v>
      </c>
      <c r="F201">
        <f t="shared" si="18"/>
        <v>-0.17994687899887057</v>
      </c>
      <c r="G201">
        <f t="shared" si="19"/>
        <v>2642.8989225506766</v>
      </c>
    </row>
    <row r="202" spans="1:7" x14ac:dyDescent="0.3">
      <c r="A202">
        <v>0.995</v>
      </c>
      <c r="B202">
        <v>1411.57</v>
      </c>
      <c r="C202">
        <f t="shared" si="15"/>
        <v>729.1489473684212</v>
      </c>
      <c r="D202">
        <f t="shared" si="16"/>
        <v>5.2280335550671006E-2</v>
      </c>
      <c r="E202">
        <f t="shared" si="17"/>
        <v>1.9293392294076854</v>
      </c>
      <c r="F202">
        <f t="shared" si="18"/>
        <v>-0.17043088369070883</v>
      </c>
      <c r="G202">
        <f t="shared" si="19"/>
        <v>2723.3973760550066</v>
      </c>
    </row>
    <row r="203" spans="1:7" x14ac:dyDescent="0.3">
      <c r="A203">
        <v>1</v>
      </c>
      <c r="B203">
        <v>1412.65</v>
      </c>
      <c r="C203">
        <f t="shared" si="15"/>
        <v>730.22894736842136</v>
      </c>
      <c r="D203">
        <f t="shared" si="16"/>
        <v>5.244744828782974E-2</v>
      </c>
      <c r="E203">
        <f t="shared" si="17"/>
        <v>1.9817866776955151</v>
      </c>
      <c r="F203">
        <f t="shared" si="18"/>
        <v>-0.16065306892295084</v>
      </c>
      <c r="G203">
        <f t="shared" si="19"/>
        <v>2799.5709502465697</v>
      </c>
    </row>
    <row r="204" spans="1:7" x14ac:dyDescent="0.3">
      <c r="A204">
        <v>1.0049999999999999</v>
      </c>
      <c r="B204">
        <v>1413.72</v>
      </c>
      <c r="C204">
        <f t="shared" si="15"/>
        <v>731.2989473684213</v>
      </c>
      <c r="D204">
        <f t="shared" si="16"/>
        <v>5.2524715467376248E-2</v>
      </c>
      <c r="E204">
        <f t="shared" si="17"/>
        <v>2.0343113931628913</v>
      </c>
      <c r="F204">
        <f t="shared" si="18"/>
        <v>-0.15061282374580481</v>
      </c>
      <c r="G204">
        <f t="shared" si="19"/>
        <v>2875.9467027422429</v>
      </c>
    </row>
    <row r="205" spans="1:7" x14ac:dyDescent="0.3">
      <c r="A205">
        <v>1.01</v>
      </c>
      <c r="B205">
        <v>1411.13</v>
      </c>
      <c r="C205">
        <f t="shared" si="15"/>
        <v>728.70894736842138</v>
      </c>
      <c r="D205">
        <f t="shared" si="16"/>
        <v>5.2470089368348016E-2</v>
      </c>
      <c r="E205">
        <f t="shared" si="17"/>
        <v>2.0867814825312392</v>
      </c>
      <c r="F205">
        <f t="shared" si="18"/>
        <v>-0.14031009155656948</v>
      </c>
      <c r="G205">
        <f t="shared" si="19"/>
        <v>2944.719953444308</v>
      </c>
    </row>
    <row r="206" spans="1:7" x14ac:dyDescent="0.3">
      <c r="A206">
        <v>1.0149999999999999</v>
      </c>
      <c r="B206">
        <v>1408.65</v>
      </c>
      <c r="C206">
        <f t="shared" si="15"/>
        <v>726.22894736842136</v>
      </c>
      <c r="D206">
        <f t="shared" si="16"/>
        <v>5.2287882577510443E-2</v>
      </c>
      <c r="E206">
        <f t="shared" si="17"/>
        <v>2.1390693651087496</v>
      </c>
      <c r="F206">
        <f t="shared" si="18"/>
        <v>-0.12974546443746951</v>
      </c>
      <c r="G206">
        <f t="shared" si="19"/>
        <v>3013.2000611604403</v>
      </c>
    </row>
    <row r="207" spans="1:7" x14ac:dyDescent="0.3">
      <c r="A207">
        <v>1.02</v>
      </c>
      <c r="B207">
        <v>1401.31</v>
      </c>
      <c r="C207">
        <f t="shared" si="15"/>
        <v>718.88894736842121</v>
      </c>
      <c r="D207">
        <f t="shared" si="16"/>
        <v>5.1934969227209651E-2</v>
      </c>
      <c r="E207">
        <f t="shared" si="17"/>
        <v>2.1910043343359593</v>
      </c>
      <c r="F207">
        <f t="shared" si="18"/>
        <v>-0.11892028018885774</v>
      </c>
      <c r="G207">
        <f t="shared" si="19"/>
        <v>3070.2762837483228</v>
      </c>
    </row>
    <row r="208" spans="1:7" x14ac:dyDescent="0.3">
      <c r="A208">
        <v>1.0249999999999999</v>
      </c>
      <c r="B208">
        <v>1389.48</v>
      </c>
      <c r="C208">
        <f t="shared" si="15"/>
        <v>707.05894736842129</v>
      </c>
      <c r="D208">
        <f t="shared" si="16"/>
        <v>5.1246033491439177E-2</v>
      </c>
      <c r="E208">
        <f t="shared" si="17"/>
        <v>2.2422503678273986</v>
      </c>
      <c r="F208">
        <f t="shared" si="18"/>
        <v>-0.10783714343344934</v>
      </c>
      <c r="G208">
        <f t="shared" si="19"/>
        <v>3115.5620410888137</v>
      </c>
    </row>
    <row r="209" spans="1:7" x14ac:dyDescent="0.3">
      <c r="A209">
        <v>1.03</v>
      </c>
      <c r="B209">
        <v>1369.83</v>
      </c>
      <c r="C209">
        <f t="shared" si="15"/>
        <v>687.4089473684212</v>
      </c>
      <c r="D209">
        <f t="shared" si="16"/>
        <v>5.011469822998614E-2</v>
      </c>
      <c r="E209">
        <f t="shared" si="17"/>
        <v>2.2923650660573847</v>
      </c>
      <c r="F209">
        <f t="shared" si="18"/>
        <v>-9.650060484873739E-2</v>
      </c>
      <c r="G209">
        <f t="shared" si="19"/>
        <v>3140.150438437387</v>
      </c>
    </row>
    <row r="210" spans="1:7" x14ac:dyDescent="0.3">
      <c r="A210">
        <v>1.0349999999999999</v>
      </c>
      <c r="B210">
        <v>1351.67</v>
      </c>
      <c r="C210">
        <f t="shared" si="15"/>
        <v>669.24894736842134</v>
      </c>
      <c r="D210">
        <f t="shared" si="16"/>
        <v>4.8755874016658984E-2</v>
      </c>
      <c r="E210">
        <f t="shared" si="17"/>
        <v>2.3411209400740436</v>
      </c>
      <c r="F210">
        <f t="shared" si="18"/>
        <v>-8.4916889833408823E-2</v>
      </c>
      <c r="G210">
        <f t="shared" si="19"/>
        <v>3164.4229410698827</v>
      </c>
    </row>
    <row r="211" spans="1:7" x14ac:dyDescent="0.3">
      <c r="A211">
        <v>1.04</v>
      </c>
      <c r="B211">
        <v>1317.75</v>
      </c>
      <c r="C211">
        <f t="shared" si="15"/>
        <v>635.32894736842127</v>
      </c>
      <c r="D211">
        <f t="shared" si="16"/>
        <v>4.6884211360481286E-2</v>
      </c>
      <c r="E211">
        <f t="shared" si="17"/>
        <v>2.3880051514345251</v>
      </c>
      <c r="F211">
        <f t="shared" si="18"/>
        <v>-7.3094074604637405E-2</v>
      </c>
      <c r="G211">
        <f t="shared" si="19"/>
        <v>3146.7937883028453</v>
      </c>
    </row>
    <row r="212" spans="1:7" x14ac:dyDescent="0.3">
      <c r="A212">
        <v>1.0449999999999999</v>
      </c>
      <c r="B212">
        <v>1274.48</v>
      </c>
      <c r="C212">
        <f t="shared" si="15"/>
        <v>592.05894736842129</v>
      </c>
      <c r="D212">
        <f t="shared" si="16"/>
        <v>4.4110139923646485E-2</v>
      </c>
      <c r="E212">
        <f t="shared" si="17"/>
        <v>2.4321152913581714</v>
      </c>
      <c r="F212">
        <f t="shared" si="18"/>
        <v>-6.1043773497655662E-2</v>
      </c>
      <c r="G212">
        <f t="shared" si="19"/>
        <v>3099.6822965301621</v>
      </c>
    </row>
    <row r="213" spans="1:7" x14ac:dyDescent="0.3">
      <c r="A213">
        <v>1.05</v>
      </c>
      <c r="B213">
        <v>1218.76</v>
      </c>
      <c r="C213">
        <f t="shared" si="15"/>
        <v>536.33894736842126</v>
      </c>
      <c r="D213">
        <f t="shared" si="16"/>
        <v>4.055261522443316E-2</v>
      </c>
      <c r="E213">
        <f t="shared" si="17"/>
        <v>2.4726679065826045</v>
      </c>
      <c r="F213">
        <f t="shared" si="18"/>
        <v>-4.8781815502803721E-2</v>
      </c>
      <c r="G213">
        <f t="shared" si="19"/>
        <v>3013.5887378266152</v>
      </c>
    </row>
    <row r="214" spans="1:7" x14ac:dyDescent="0.3">
      <c r="A214">
        <v>1.0549999999999999</v>
      </c>
      <c r="B214">
        <v>1148.2</v>
      </c>
      <c r="C214">
        <f t="shared" si="15"/>
        <v>465.77894736842131</v>
      </c>
      <c r="D214">
        <f t="shared" si="16"/>
        <v>3.6014336418324876E-2</v>
      </c>
      <c r="E214">
        <f t="shared" si="17"/>
        <v>2.5086822430009295</v>
      </c>
      <c r="F214">
        <f t="shared" si="18"/>
        <v>-3.6328440128844883E-2</v>
      </c>
      <c r="G214">
        <f t="shared" si="19"/>
        <v>2880.4689514136671</v>
      </c>
    </row>
    <row r="215" spans="1:7" x14ac:dyDescent="0.3">
      <c r="A215">
        <v>1.06</v>
      </c>
      <c r="B215">
        <v>1060.1500000000001</v>
      </c>
      <c r="C215">
        <f t="shared" si="15"/>
        <v>377.72894736842136</v>
      </c>
      <c r="D215">
        <f t="shared" si="16"/>
        <v>3.0314174861175408E-2</v>
      </c>
      <c r="E215">
        <f t="shared" si="17"/>
        <v>2.5389964178621049</v>
      </c>
      <c r="F215">
        <f t="shared" si="18"/>
        <v>-2.3709243476687295E-2</v>
      </c>
      <c r="G215">
        <f t="shared" si="19"/>
        <v>2691.717052396511</v>
      </c>
    </row>
    <row r="216" spans="1:7" x14ac:dyDescent="0.3">
      <c r="A216">
        <v>1.0649999999999999</v>
      </c>
      <c r="B216">
        <v>953.19</v>
      </c>
      <c r="C216">
        <f t="shared" si="15"/>
        <v>270.76894736842132</v>
      </c>
      <c r="D216">
        <f t="shared" si="16"/>
        <v>2.3305861985192067E-2</v>
      </c>
      <c r="E216">
        <f t="shared" si="17"/>
        <v>2.5623022798472972</v>
      </c>
      <c r="F216">
        <f t="shared" si="18"/>
        <v>-1.095599673241379E-2</v>
      </c>
      <c r="G216">
        <f t="shared" si="19"/>
        <v>2442.3609101276452</v>
      </c>
    </row>
    <row r="217" spans="1:7" x14ac:dyDescent="0.3">
      <c r="A217">
        <v>1.07</v>
      </c>
      <c r="B217">
        <v>874.37</v>
      </c>
      <c r="C217">
        <f t="shared" si="15"/>
        <v>191.94894736842127</v>
      </c>
      <c r="D217">
        <f t="shared" si="16"/>
        <v>1.6629258907913023E-2</v>
      </c>
      <c r="E217">
        <f t="shared" si="17"/>
        <v>2.5789315387552101</v>
      </c>
      <c r="F217">
        <f t="shared" si="18"/>
        <v>1.8970878140924779E-3</v>
      </c>
      <c r="G217">
        <f t="shared" si="19"/>
        <v>2254.940369541393</v>
      </c>
    </row>
    <row r="218" spans="1:7" x14ac:dyDescent="0.3">
      <c r="A218">
        <v>1.075</v>
      </c>
      <c r="B218">
        <v>720.52</v>
      </c>
      <c r="C218">
        <f t="shared" si="15"/>
        <v>38.09894736842125</v>
      </c>
      <c r="D218">
        <f t="shared" si="16"/>
        <v>8.2675125520592484E-3</v>
      </c>
      <c r="E218">
        <f t="shared" si="17"/>
        <v>2.5871990513072691</v>
      </c>
      <c r="F218">
        <f t="shared" si="18"/>
        <v>1.4812414289248677E-2</v>
      </c>
      <c r="G218">
        <f t="shared" si="19"/>
        <v>1864.1286604479135</v>
      </c>
    </row>
    <row r="219" spans="1:7" x14ac:dyDescent="0.3">
      <c r="A219">
        <v>1.08</v>
      </c>
      <c r="B219">
        <v>547.99</v>
      </c>
      <c r="C219">
        <f t="shared" si="15"/>
        <v>-134.43105263157872</v>
      </c>
      <c r="D219">
        <f t="shared" si="16"/>
        <v>-3.4620046853308514E-3</v>
      </c>
      <c r="E219">
        <f t="shared" si="17"/>
        <v>2.5837370466219385</v>
      </c>
      <c r="F219">
        <f t="shared" si="18"/>
        <v>2.7739754534071695E-2</v>
      </c>
      <c r="G219">
        <f t="shared" si="19"/>
        <v>1415.8620641783561</v>
      </c>
    </row>
    <row r="220" spans="1:7" x14ac:dyDescent="0.3">
      <c r="A220">
        <v>1.085</v>
      </c>
      <c r="B220">
        <v>391.68</v>
      </c>
      <c r="C220">
        <f t="shared" si="15"/>
        <v>-290.74105263157873</v>
      </c>
      <c r="D220">
        <f t="shared" si="16"/>
        <v>-1.5279929951411371E-2</v>
      </c>
      <c r="E220">
        <f t="shared" si="17"/>
        <v>2.568457116670527</v>
      </c>
      <c r="F220">
        <f t="shared" si="18"/>
        <v>4.0620239942302863E-2</v>
      </c>
      <c r="G220">
        <f t="shared" si="19"/>
        <v>1006.013283457512</v>
      </c>
    </row>
    <row r="221" spans="1:7" x14ac:dyDescent="0.3">
      <c r="A221">
        <v>1.0900000000000001</v>
      </c>
      <c r="B221">
        <v>204.79</v>
      </c>
      <c r="C221">
        <f t="shared" si="15"/>
        <v>-477.63105263157877</v>
      </c>
      <c r="D221">
        <f t="shared" si="16"/>
        <v>-2.7613928100416466E-2</v>
      </c>
      <c r="E221">
        <f t="shared" si="17"/>
        <v>2.5408431885701104</v>
      </c>
      <c r="F221">
        <f t="shared" si="18"/>
        <v>5.3393490705404459E-2</v>
      </c>
      <c r="G221">
        <f t="shared" si="19"/>
        <v>520.33927658727293</v>
      </c>
    </row>
    <row r="222" spans="1:7" x14ac:dyDescent="0.3">
      <c r="A222">
        <v>1.095</v>
      </c>
      <c r="B222">
        <v>76.25</v>
      </c>
      <c r="C222">
        <f t="shared" si="15"/>
        <v>-606.17105263157873</v>
      </c>
      <c r="D222">
        <f t="shared" si="16"/>
        <v>-3.894992179546506E-2</v>
      </c>
      <c r="E222">
        <f t="shared" si="17"/>
        <v>2.5018932667746454</v>
      </c>
      <c r="F222">
        <f t="shared" si="18"/>
        <v>6.6000331843766344E-2</v>
      </c>
      <c r="G222">
        <f t="shared" si="19"/>
        <v>190.76936159156671</v>
      </c>
    </row>
    <row r="223" spans="1:7" x14ac:dyDescent="0.3">
      <c r="A223">
        <v>1.1000000000000001</v>
      </c>
      <c r="B223">
        <v>0</v>
      </c>
      <c r="C223">
        <f t="shared" si="15"/>
        <v>-682.42105263157873</v>
      </c>
      <c r="D223">
        <f t="shared" si="16"/>
        <v>-4.6309710492827387E-2</v>
      </c>
      <c r="E223">
        <f t="shared" si="17"/>
        <v>2.4555835562818182</v>
      </c>
      <c r="F223">
        <f t="shared" si="18"/>
        <v>7.8394023901407497E-2</v>
      </c>
      <c r="G223">
        <f t="shared" si="19"/>
        <v>0</v>
      </c>
    </row>
    <row r="224" spans="1:7" x14ac:dyDescent="0.3">
      <c r="A224">
        <v>1.105</v>
      </c>
      <c r="B224">
        <v>0</v>
      </c>
      <c r="C224">
        <f t="shared" si="15"/>
        <v>-682.42105263157873</v>
      </c>
      <c r="D224">
        <f t="shared" si="16"/>
        <v>-4.9049999999999996E-2</v>
      </c>
      <c r="E224">
        <f t="shared" si="17"/>
        <v>2.4065335562818184</v>
      </c>
      <c r="F224">
        <f t="shared" si="18"/>
        <v>9.0549316682816586E-2</v>
      </c>
      <c r="G224">
        <f t="shared" si="19"/>
        <v>0</v>
      </c>
    </row>
    <row r="225" spans="1:7" x14ac:dyDescent="0.3">
      <c r="A225">
        <v>1.1100000000000001</v>
      </c>
      <c r="B225">
        <v>0</v>
      </c>
      <c r="C225">
        <f t="shared" si="15"/>
        <v>-682.42105263157873</v>
      </c>
      <c r="D225">
        <f t="shared" si="16"/>
        <v>-4.9049999999999996E-2</v>
      </c>
      <c r="E225">
        <f t="shared" si="17"/>
        <v>2.3574835562818186</v>
      </c>
      <c r="F225">
        <f t="shared" si="18"/>
        <v>0.10245935946422569</v>
      </c>
      <c r="G225">
        <f t="shared" si="19"/>
        <v>0</v>
      </c>
    </row>
    <row r="226" spans="1:7" x14ac:dyDescent="0.3">
      <c r="A226">
        <v>1.115</v>
      </c>
      <c r="B226">
        <v>0</v>
      </c>
      <c r="C226">
        <f t="shared" si="15"/>
        <v>-682.42105263157873</v>
      </c>
      <c r="D226">
        <f t="shared" si="16"/>
        <v>-4.9049999999999996E-2</v>
      </c>
      <c r="E226">
        <f t="shared" si="17"/>
        <v>2.3084335562818188</v>
      </c>
      <c r="F226">
        <f t="shared" si="18"/>
        <v>0.11412415224563478</v>
      </c>
      <c r="G226">
        <f t="shared" si="19"/>
        <v>0</v>
      </c>
    </row>
    <row r="227" spans="1:7" x14ac:dyDescent="0.3">
      <c r="A227">
        <v>1.1200000000000001</v>
      </c>
      <c r="B227">
        <v>0</v>
      </c>
      <c r="C227">
        <f t="shared" si="15"/>
        <v>-682.42105263157873</v>
      </c>
      <c r="D227">
        <f t="shared" si="16"/>
        <v>-4.9049999999999996E-2</v>
      </c>
      <c r="E227">
        <f t="shared" si="17"/>
        <v>2.259383556281819</v>
      </c>
      <c r="F227">
        <f t="shared" si="18"/>
        <v>0.12554369502704388</v>
      </c>
      <c r="G227">
        <f t="shared" si="19"/>
        <v>0</v>
      </c>
    </row>
    <row r="228" spans="1:7" x14ac:dyDescent="0.3">
      <c r="A228">
        <v>1.125</v>
      </c>
      <c r="B228">
        <v>0</v>
      </c>
      <c r="C228">
        <f t="shared" si="15"/>
        <v>-682.42105263157873</v>
      </c>
      <c r="D228">
        <f t="shared" si="16"/>
        <v>-4.9049999999999996E-2</v>
      </c>
      <c r="E228">
        <f t="shared" si="17"/>
        <v>2.2103335562818192</v>
      </c>
      <c r="F228">
        <f t="shared" si="18"/>
        <v>0.13671798780845298</v>
      </c>
      <c r="G228">
        <f t="shared" si="19"/>
        <v>0</v>
      </c>
    </row>
    <row r="229" spans="1:7" x14ac:dyDescent="0.3">
      <c r="A229">
        <v>1.1299999999999999</v>
      </c>
      <c r="B229">
        <v>0</v>
      </c>
      <c r="C229">
        <f t="shared" si="15"/>
        <v>-682.42105263157873</v>
      </c>
      <c r="D229">
        <f t="shared" si="16"/>
        <v>-4.9049999999999996E-2</v>
      </c>
      <c r="E229">
        <f t="shared" si="17"/>
        <v>2.1612835562818193</v>
      </c>
      <c r="F229">
        <f t="shared" si="18"/>
        <v>0.14764703058986209</v>
      </c>
      <c r="G229">
        <f t="shared" si="19"/>
        <v>0</v>
      </c>
    </row>
    <row r="230" spans="1:7" x14ac:dyDescent="0.3">
      <c r="A230">
        <v>1.135</v>
      </c>
      <c r="B230">
        <v>0</v>
      </c>
      <c r="C230">
        <f t="shared" si="15"/>
        <v>-682.42105263157873</v>
      </c>
      <c r="D230">
        <f t="shared" si="16"/>
        <v>-4.9049999999999996E-2</v>
      </c>
      <c r="E230">
        <f t="shared" si="17"/>
        <v>2.1122335562818195</v>
      </c>
      <c r="F230">
        <f t="shared" si="18"/>
        <v>0.15833082337127119</v>
      </c>
      <c r="G230">
        <f t="shared" si="19"/>
        <v>0</v>
      </c>
    </row>
    <row r="231" spans="1:7" x14ac:dyDescent="0.3">
      <c r="A231">
        <v>1.1399999999999999</v>
      </c>
      <c r="B231">
        <v>0</v>
      </c>
      <c r="C231">
        <f t="shared" si="15"/>
        <v>-682.42105263157873</v>
      </c>
      <c r="D231">
        <f t="shared" si="16"/>
        <v>-4.9049999999999996E-2</v>
      </c>
      <c r="E231">
        <f t="shared" si="17"/>
        <v>2.0631835562818197</v>
      </c>
      <c r="F231">
        <f t="shared" si="18"/>
        <v>0.16876936615268029</v>
      </c>
      <c r="G231">
        <f t="shared" si="19"/>
        <v>0</v>
      </c>
    </row>
    <row r="232" spans="1:7" x14ac:dyDescent="0.3">
      <c r="A232">
        <v>1.145</v>
      </c>
      <c r="B232">
        <v>0</v>
      </c>
      <c r="C232">
        <f t="shared" si="15"/>
        <v>-682.42105263157873</v>
      </c>
      <c r="D232">
        <f t="shared" si="16"/>
        <v>-4.9049999999999996E-2</v>
      </c>
      <c r="E232">
        <f t="shared" si="17"/>
        <v>2.0141335562818199</v>
      </c>
      <c r="F232">
        <f t="shared" si="18"/>
        <v>0.17896265893408939</v>
      </c>
      <c r="G232">
        <f t="shared" si="19"/>
        <v>0</v>
      </c>
    </row>
    <row r="233" spans="1:7" x14ac:dyDescent="0.3">
      <c r="A233">
        <v>1.1499999999999999</v>
      </c>
      <c r="B233">
        <v>0</v>
      </c>
      <c r="C233">
        <f t="shared" si="15"/>
        <v>-682.42105263157873</v>
      </c>
      <c r="D233">
        <f t="shared" si="16"/>
        <v>-4.9049999999999996E-2</v>
      </c>
      <c r="E233">
        <f t="shared" si="17"/>
        <v>1.9650835562818199</v>
      </c>
      <c r="F233">
        <f t="shared" si="18"/>
        <v>0.18891070171549848</v>
      </c>
      <c r="G233">
        <f t="shared" si="19"/>
        <v>0</v>
      </c>
    </row>
    <row r="234" spans="1:7" x14ac:dyDescent="0.3">
      <c r="A234">
        <v>1.155</v>
      </c>
      <c r="B234">
        <v>0</v>
      </c>
      <c r="C234">
        <f t="shared" si="15"/>
        <v>-682.42105263157873</v>
      </c>
      <c r="D234">
        <f t="shared" si="16"/>
        <v>-4.9049999999999996E-2</v>
      </c>
      <c r="E234">
        <f t="shared" si="17"/>
        <v>1.9160335562818198</v>
      </c>
      <c r="F234">
        <f t="shared" si="18"/>
        <v>0.19861349449690757</v>
      </c>
      <c r="G234">
        <f t="shared" si="19"/>
        <v>0</v>
      </c>
    </row>
    <row r="235" spans="1:7" x14ac:dyDescent="0.3">
      <c r="A235">
        <v>1.1599999999999999</v>
      </c>
      <c r="B235">
        <v>0</v>
      </c>
      <c r="C235">
        <f t="shared" si="15"/>
        <v>-682.42105263157873</v>
      </c>
      <c r="D235">
        <f t="shared" si="16"/>
        <v>-4.9049999999999996E-2</v>
      </c>
      <c r="E235">
        <f t="shared" si="17"/>
        <v>1.8669835562818198</v>
      </c>
      <c r="F235">
        <f t="shared" si="18"/>
        <v>0.20807103727831666</v>
      </c>
      <c r="G235">
        <f t="shared" si="19"/>
        <v>0</v>
      </c>
    </row>
    <row r="236" spans="1:7" x14ac:dyDescent="0.3">
      <c r="A236">
        <v>1.165</v>
      </c>
      <c r="B236">
        <v>0</v>
      </c>
      <c r="C236">
        <f t="shared" si="15"/>
        <v>-682.42105263157873</v>
      </c>
      <c r="D236">
        <f t="shared" si="16"/>
        <v>-4.9049999999999996E-2</v>
      </c>
      <c r="E236">
        <f t="shared" si="17"/>
        <v>1.8179335562818197</v>
      </c>
      <c r="F236">
        <f t="shared" si="18"/>
        <v>0.21728333005972575</v>
      </c>
      <c r="G236">
        <f t="shared" si="19"/>
        <v>0</v>
      </c>
    </row>
    <row r="237" spans="1:7" x14ac:dyDescent="0.3">
      <c r="A237">
        <v>1.17</v>
      </c>
      <c r="B237">
        <v>0</v>
      </c>
      <c r="C237">
        <f t="shared" si="15"/>
        <v>-682.42105263157873</v>
      </c>
      <c r="D237">
        <f t="shared" si="16"/>
        <v>-4.9049999999999996E-2</v>
      </c>
      <c r="E237">
        <f t="shared" si="17"/>
        <v>1.7688835562818197</v>
      </c>
      <c r="F237">
        <f t="shared" si="18"/>
        <v>0.22625037284113486</v>
      </c>
      <c r="G237">
        <f t="shared" si="19"/>
        <v>0</v>
      </c>
    </row>
    <row r="238" spans="1:7" x14ac:dyDescent="0.3">
      <c r="A238">
        <v>1.175</v>
      </c>
      <c r="B238">
        <v>0</v>
      </c>
      <c r="C238">
        <f t="shared" si="15"/>
        <v>-682.42105263157873</v>
      </c>
      <c r="D238">
        <f t="shared" si="16"/>
        <v>-4.9049999999999996E-2</v>
      </c>
      <c r="E238">
        <f t="shared" si="17"/>
        <v>1.7198335562818197</v>
      </c>
      <c r="F238">
        <f t="shared" si="18"/>
        <v>0.23497216562254397</v>
      </c>
      <c r="G238">
        <f t="shared" si="19"/>
        <v>0</v>
      </c>
    </row>
    <row r="239" spans="1:7" x14ac:dyDescent="0.3">
      <c r="A239">
        <v>1.18</v>
      </c>
      <c r="B239">
        <v>0</v>
      </c>
      <c r="C239">
        <f t="shared" si="15"/>
        <v>-682.42105263157873</v>
      </c>
      <c r="D239">
        <f t="shared" si="16"/>
        <v>-4.9049999999999996E-2</v>
      </c>
      <c r="E239">
        <f t="shared" si="17"/>
        <v>1.6707835562818196</v>
      </c>
      <c r="F239">
        <f t="shared" si="18"/>
        <v>0.24344870840395308</v>
      </c>
      <c r="G239">
        <f t="shared" si="19"/>
        <v>0</v>
      </c>
    </row>
    <row r="240" spans="1:7" x14ac:dyDescent="0.3">
      <c r="A240">
        <v>1.1850000000000001</v>
      </c>
      <c r="B240">
        <v>0</v>
      </c>
      <c r="C240">
        <f t="shared" si="15"/>
        <v>-682.42105263157873</v>
      </c>
      <c r="D240">
        <f t="shared" si="16"/>
        <v>-4.9049999999999996E-2</v>
      </c>
      <c r="E240">
        <f t="shared" si="17"/>
        <v>1.6217335562818196</v>
      </c>
      <c r="F240">
        <f t="shared" si="18"/>
        <v>0.25168000118536216</v>
      </c>
      <c r="G240">
        <f t="shared" si="19"/>
        <v>0</v>
      </c>
    </row>
    <row r="241" spans="1:7" x14ac:dyDescent="0.3">
      <c r="A241">
        <v>1.19</v>
      </c>
      <c r="B241">
        <v>0</v>
      </c>
      <c r="C241">
        <f t="shared" si="15"/>
        <v>-682.42105263157873</v>
      </c>
      <c r="D241">
        <f t="shared" si="16"/>
        <v>-4.9049999999999996E-2</v>
      </c>
      <c r="E241">
        <f t="shared" si="17"/>
        <v>1.5726835562818196</v>
      </c>
      <c r="F241">
        <f t="shared" si="18"/>
        <v>0.25966604396677123</v>
      </c>
      <c r="G241">
        <f t="shared" si="19"/>
        <v>0</v>
      </c>
    </row>
    <row r="242" spans="1:7" x14ac:dyDescent="0.3">
      <c r="A242">
        <v>1.1950000000000001</v>
      </c>
      <c r="B242">
        <v>0</v>
      </c>
      <c r="C242">
        <f t="shared" si="15"/>
        <v>-682.42105263157873</v>
      </c>
      <c r="D242">
        <f t="shared" si="16"/>
        <v>-4.9049999999999996E-2</v>
      </c>
      <c r="E242">
        <f t="shared" si="17"/>
        <v>1.5236335562818195</v>
      </c>
      <c r="F242">
        <f t="shared" si="18"/>
        <v>0.26740683674818033</v>
      </c>
      <c r="G242">
        <f t="shared" si="19"/>
        <v>0</v>
      </c>
    </row>
    <row r="243" spans="1:7" x14ac:dyDescent="0.3">
      <c r="A243">
        <v>1.2</v>
      </c>
      <c r="B243">
        <v>0</v>
      </c>
      <c r="C243">
        <f t="shared" si="15"/>
        <v>-682.42105263157873</v>
      </c>
      <c r="D243">
        <f t="shared" si="16"/>
        <v>-4.9049999999999996E-2</v>
      </c>
      <c r="E243">
        <f t="shared" si="17"/>
        <v>1.4745835562818195</v>
      </c>
      <c r="F243">
        <f t="shared" si="18"/>
        <v>0.2749023795295894</v>
      </c>
      <c r="G243">
        <f t="shared" si="19"/>
        <v>0</v>
      </c>
    </row>
    <row r="244" spans="1:7" x14ac:dyDescent="0.3">
      <c r="A244">
        <v>1.2050000000000001</v>
      </c>
      <c r="B244">
        <v>0</v>
      </c>
      <c r="C244">
        <f t="shared" si="15"/>
        <v>-682.42105263157873</v>
      </c>
      <c r="D244">
        <f t="shared" si="16"/>
        <v>-4.9049999999999996E-2</v>
      </c>
      <c r="E244">
        <f t="shared" si="17"/>
        <v>1.4255335562818194</v>
      </c>
      <c r="F244">
        <f t="shared" si="18"/>
        <v>0.2821526723109985</v>
      </c>
      <c r="G244">
        <f t="shared" si="19"/>
        <v>0</v>
      </c>
    </row>
    <row r="245" spans="1:7" x14ac:dyDescent="0.3">
      <c r="A245">
        <v>1.21</v>
      </c>
      <c r="B245">
        <v>0</v>
      </c>
      <c r="C245">
        <f t="shared" si="15"/>
        <v>-682.42105263157873</v>
      </c>
      <c r="D245">
        <f t="shared" si="16"/>
        <v>-4.9049999999999996E-2</v>
      </c>
      <c r="E245">
        <f t="shared" si="17"/>
        <v>1.3764835562818194</v>
      </c>
      <c r="F245">
        <f t="shared" si="18"/>
        <v>0.28915771509240762</v>
      </c>
      <c r="G245">
        <f t="shared" si="19"/>
        <v>0</v>
      </c>
    </row>
    <row r="246" spans="1:7" x14ac:dyDescent="0.3">
      <c r="A246">
        <v>1.2150000000000001</v>
      </c>
      <c r="B246">
        <v>0</v>
      </c>
      <c r="C246">
        <f t="shared" si="15"/>
        <v>-682.42105263157873</v>
      </c>
      <c r="D246">
        <f t="shared" si="16"/>
        <v>-4.9049999999999996E-2</v>
      </c>
      <c r="E246">
        <f t="shared" si="17"/>
        <v>1.3274335562818194</v>
      </c>
      <c r="F246">
        <f t="shared" si="18"/>
        <v>0.29591750787381671</v>
      </c>
      <c r="G246">
        <f t="shared" si="19"/>
        <v>0</v>
      </c>
    </row>
    <row r="247" spans="1:7" x14ac:dyDescent="0.3">
      <c r="A247">
        <v>1.22</v>
      </c>
      <c r="B247">
        <v>0</v>
      </c>
      <c r="C247">
        <f t="shared" si="15"/>
        <v>-682.42105263157873</v>
      </c>
      <c r="D247">
        <f t="shared" si="16"/>
        <v>-4.9049999999999996E-2</v>
      </c>
      <c r="E247">
        <f t="shared" si="17"/>
        <v>1.2783835562818193</v>
      </c>
      <c r="F247">
        <f t="shared" si="18"/>
        <v>0.30243205065522583</v>
      </c>
      <c r="G247">
        <f t="shared" si="19"/>
        <v>0</v>
      </c>
    </row>
    <row r="248" spans="1:7" x14ac:dyDescent="0.3">
      <c r="A248">
        <v>1.2250000000000001</v>
      </c>
      <c r="B248">
        <v>0</v>
      </c>
      <c r="C248">
        <f t="shared" si="15"/>
        <v>-682.42105263157873</v>
      </c>
      <c r="D248">
        <f t="shared" si="16"/>
        <v>-4.9049999999999996E-2</v>
      </c>
      <c r="E248">
        <f t="shared" si="17"/>
        <v>1.2293335562818193</v>
      </c>
      <c r="F248">
        <f t="shared" si="18"/>
        <v>0.30870134343663491</v>
      </c>
      <c r="G248">
        <f t="shared" si="19"/>
        <v>0</v>
      </c>
    </row>
    <row r="249" spans="1:7" x14ac:dyDescent="0.3">
      <c r="A249">
        <v>1.23</v>
      </c>
      <c r="B249">
        <v>0</v>
      </c>
      <c r="C249">
        <f t="shared" si="15"/>
        <v>-682.42105263157873</v>
      </c>
      <c r="D249">
        <f t="shared" si="16"/>
        <v>-4.9049999999999996E-2</v>
      </c>
      <c r="E249">
        <f t="shared" si="17"/>
        <v>1.1802835562818192</v>
      </c>
      <c r="F249">
        <f t="shared" si="18"/>
        <v>0.31472538621804402</v>
      </c>
      <c r="G249">
        <f t="shared" si="19"/>
        <v>0</v>
      </c>
    </row>
    <row r="250" spans="1:7" x14ac:dyDescent="0.3">
      <c r="A250">
        <v>1.2350000000000001</v>
      </c>
      <c r="B250">
        <v>0</v>
      </c>
      <c r="C250">
        <f t="shared" si="15"/>
        <v>-682.42105263157873</v>
      </c>
      <c r="D250">
        <f t="shared" si="16"/>
        <v>-4.9049999999999996E-2</v>
      </c>
      <c r="E250">
        <f t="shared" si="17"/>
        <v>1.1312335562818192</v>
      </c>
      <c r="F250">
        <f t="shared" si="18"/>
        <v>0.3205041789994531</v>
      </c>
      <c r="G250">
        <f t="shared" si="19"/>
        <v>0</v>
      </c>
    </row>
    <row r="251" spans="1:7" x14ac:dyDescent="0.3">
      <c r="A251">
        <v>1.24</v>
      </c>
      <c r="B251">
        <v>0</v>
      </c>
      <c r="C251">
        <f t="shared" si="15"/>
        <v>-682.42105263157873</v>
      </c>
      <c r="D251">
        <f t="shared" si="16"/>
        <v>-4.9049999999999996E-2</v>
      </c>
      <c r="E251">
        <f t="shared" si="17"/>
        <v>1.0821835562818192</v>
      </c>
      <c r="F251">
        <f t="shared" si="18"/>
        <v>0.32603772178086221</v>
      </c>
      <c r="G251">
        <f t="shared" si="19"/>
        <v>0</v>
      </c>
    </row>
    <row r="252" spans="1:7" x14ac:dyDescent="0.3">
      <c r="A252">
        <v>1.2450000000000001</v>
      </c>
      <c r="B252">
        <v>0</v>
      </c>
      <c r="C252">
        <f t="shared" si="15"/>
        <v>-682.42105263157873</v>
      </c>
      <c r="D252">
        <f t="shared" si="16"/>
        <v>-4.9049999999999996E-2</v>
      </c>
      <c r="E252">
        <f t="shared" si="17"/>
        <v>1.0331335562818191</v>
      </c>
      <c r="F252">
        <f t="shared" si="18"/>
        <v>0.33132601456227129</v>
      </c>
      <c r="G252">
        <f t="shared" si="19"/>
        <v>0</v>
      </c>
    </row>
    <row r="253" spans="1:7" x14ac:dyDescent="0.3">
      <c r="A253">
        <v>1.25</v>
      </c>
      <c r="B253">
        <v>0</v>
      </c>
      <c r="C253">
        <f t="shared" si="15"/>
        <v>-682.42105263157873</v>
      </c>
      <c r="D253">
        <f t="shared" si="16"/>
        <v>-4.9049999999999996E-2</v>
      </c>
      <c r="E253">
        <f t="shared" si="17"/>
        <v>0.98408355628181909</v>
      </c>
      <c r="F253">
        <f t="shared" si="18"/>
        <v>0.33636905734368039</v>
      </c>
      <c r="G253">
        <f t="shared" si="19"/>
        <v>0</v>
      </c>
    </row>
    <row r="254" spans="1:7" x14ac:dyDescent="0.3">
      <c r="A254">
        <v>1.2549999999999999</v>
      </c>
      <c r="B254">
        <v>0</v>
      </c>
      <c r="C254">
        <f t="shared" si="15"/>
        <v>-682.42105263157873</v>
      </c>
      <c r="D254">
        <f t="shared" si="16"/>
        <v>-4.9049999999999996E-2</v>
      </c>
      <c r="E254">
        <f t="shared" si="17"/>
        <v>0.93503355628181906</v>
      </c>
      <c r="F254">
        <f t="shared" si="18"/>
        <v>0.34116685012508946</v>
      </c>
      <c r="G254">
        <f t="shared" si="19"/>
        <v>0</v>
      </c>
    </row>
    <row r="255" spans="1:7" x14ac:dyDescent="0.3">
      <c r="A255">
        <v>1.26</v>
      </c>
      <c r="B255">
        <v>0</v>
      </c>
      <c r="C255">
        <f t="shared" si="15"/>
        <v>-682.42105263157873</v>
      </c>
      <c r="D255">
        <f t="shared" si="16"/>
        <v>-4.9049999999999996E-2</v>
      </c>
      <c r="E255">
        <f t="shared" si="17"/>
        <v>0.88598355628181902</v>
      </c>
      <c r="F255">
        <f t="shared" si="18"/>
        <v>0.34571939290649856</v>
      </c>
      <c r="G255">
        <f t="shared" si="19"/>
        <v>0</v>
      </c>
    </row>
    <row r="256" spans="1:7" x14ac:dyDescent="0.3">
      <c r="A256">
        <v>1.2649999999999999</v>
      </c>
      <c r="B256">
        <v>0</v>
      </c>
      <c r="C256">
        <f t="shared" si="15"/>
        <v>-682.42105263157873</v>
      </c>
      <c r="D256">
        <f t="shared" si="16"/>
        <v>-4.9049999999999996E-2</v>
      </c>
      <c r="E256">
        <f t="shared" si="17"/>
        <v>0.83693355628181898</v>
      </c>
      <c r="F256">
        <f t="shared" si="18"/>
        <v>0.35002668568790768</v>
      </c>
      <c r="G256">
        <f t="shared" si="19"/>
        <v>0</v>
      </c>
    </row>
    <row r="257" spans="1:7" x14ac:dyDescent="0.3">
      <c r="A257">
        <v>1.27</v>
      </c>
      <c r="B257">
        <v>0</v>
      </c>
      <c r="C257">
        <f t="shared" si="15"/>
        <v>-682.42105263157873</v>
      </c>
      <c r="D257">
        <f t="shared" si="16"/>
        <v>-4.9049999999999996E-2</v>
      </c>
      <c r="E257">
        <f t="shared" si="17"/>
        <v>0.78788355628181894</v>
      </c>
      <c r="F257">
        <f t="shared" si="18"/>
        <v>0.35408872846931677</v>
      </c>
      <c r="G257">
        <f t="shared" si="19"/>
        <v>0</v>
      </c>
    </row>
    <row r="258" spans="1:7" x14ac:dyDescent="0.3">
      <c r="A258">
        <v>1.2749999999999999</v>
      </c>
      <c r="B258">
        <v>0</v>
      </c>
      <c r="C258">
        <f t="shared" si="15"/>
        <v>-682.42105263157873</v>
      </c>
      <c r="D258">
        <f t="shared" si="16"/>
        <v>-4.9049999999999996E-2</v>
      </c>
      <c r="E258">
        <f t="shared" si="17"/>
        <v>0.7388335562818189</v>
      </c>
      <c r="F258">
        <f t="shared" si="18"/>
        <v>0.35790552125072589</v>
      </c>
      <c r="G258">
        <f t="shared" si="19"/>
        <v>0</v>
      </c>
    </row>
    <row r="259" spans="1:7" x14ac:dyDescent="0.3">
      <c r="A259">
        <v>1.28</v>
      </c>
      <c r="B259">
        <v>0</v>
      </c>
      <c r="C259">
        <f t="shared" si="15"/>
        <v>-682.42105263157873</v>
      </c>
      <c r="D259">
        <f t="shared" si="16"/>
        <v>-4.9049999999999996E-2</v>
      </c>
      <c r="E259">
        <f t="shared" si="17"/>
        <v>0.68978355628181887</v>
      </c>
      <c r="F259">
        <f t="shared" si="18"/>
        <v>0.36147706403213498</v>
      </c>
      <c r="G259">
        <f t="shared" si="19"/>
        <v>0</v>
      </c>
    </row>
    <row r="260" spans="1:7" x14ac:dyDescent="0.3">
      <c r="A260">
        <v>1.2849999999999999</v>
      </c>
      <c r="B260">
        <v>0</v>
      </c>
      <c r="C260">
        <f t="shared" ref="C260:C323" si="20">B260+$C$1</f>
        <v>-682.42105263157873</v>
      </c>
      <c r="D260">
        <f t="shared" si="16"/>
        <v>-4.9049999999999996E-2</v>
      </c>
      <c r="E260">
        <f t="shared" si="17"/>
        <v>0.64073355628181883</v>
      </c>
      <c r="F260">
        <f t="shared" si="18"/>
        <v>0.36480335681354409</v>
      </c>
      <c r="G260">
        <f t="shared" si="19"/>
        <v>0</v>
      </c>
    </row>
    <row r="261" spans="1:7" x14ac:dyDescent="0.3">
      <c r="A261">
        <v>1.29</v>
      </c>
      <c r="B261">
        <v>0</v>
      </c>
      <c r="C261">
        <f t="shared" si="20"/>
        <v>-682.42105263157873</v>
      </c>
      <c r="D261">
        <f t="shared" ref="D261:D324" si="21">1/$E$1*(C260+C261)*0.005/2</f>
        <v>-4.9049999999999996E-2</v>
      </c>
      <c r="E261">
        <f t="shared" ref="E261:E324" si="22">E260+D261</f>
        <v>0.59168355628181879</v>
      </c>
      <c r="F261">
        <f t="shared" ref="F261:F324" si="23">F260+(E260+E261)*0.005/2</f>
        <v>0.36788439959495317</v>
      </c>
      <c r="G261">
        <f t="shared" ref="G261:G324" si="24">B261*E261</f>
        <v>0</v>
      </c>
    </row>
    <row r="262" spans="1:7" x14ac:dyDescent="0.3">
      <c r="A262">
        <v>1.2949999999999999</v>
      </c>
      <c r="B262">
        <v>0</v>
      </c>
      <c r="C262">
        <f t="shared" si="20"/>
        <v>-682.42105263157873</v>
      </c>
      <c r="D262">
        <f t="shared" si="21"/>
        <v>-4.9049999999999996E-2</v>
      </c>
      <c r="E262">
        <f t="shared" si="22"/>
        <v>0.54263355628181875</v>
      </c>
      <c r="F262">
        <f t="shared" si="23"/>
        <v>0.37072019237636228</v>
      </c>
      <c r="G262">
        <f t="shared" si="24"/>
        <v>0</v>
      </c>
    </row>
    <row r="263" spans="1:7" x14ac:dyDescent="0.3">
      <c r="A263">
        <v>1.3</v>
      </c>
      <c r="B263">
        <v>0</v>
      </c>
      <c r="C263">
        <f t="shared" si="20"/>
        <v>-682.42105263157873</v>
      </c>
      <c r="D263">
        <f t="shared" si="21"/>
        <v>-4.9049999999999996E-2</v>
      </c>
      <c r="E263">
        <f t="shared" si="22"/>
        <v>0.49358355628181877</v>
      </c>
      <c r="F263">
        <f t="shared" si="23"/>
        <v>0.37331073515777136</v>
      </c>
      <c r="G263">
        <f t="shared" si="24"/>
        <v>0</v>
      </c>
    </row>
    <row r="264" spans="1:7" x14ac:dyDescent="0.3">
      <c r="A264">
        <v>1.3049999999999999</v>
      </c>
      <c r="B264">
        <v>0</v>
      </c>
      <c r="C264">
        <f t="shared" si="20"/>
        <v>-682.42105263157873</v>
      </c>
      <c r="D264">
        <f t="shared" si="21"/>
        <v>-4.9049999999999996E-2</v>
      </c>
      <c r="E264">
        <f t="shared" si="22"/>
        <v>0.44453355628181879</v>
      </c>
      <c r="F264">
        <f t="shared" si="23"/>
        <v>0.37565602793918046</v>
      </c>
      <c r="G264">
        <f t="shared" si="24"/>
        <v>0</v>
      </c>
    </row>
    <row r="265" spans="1:7" x14ac:dyDescent="0.3">
      <c r="A265">
        <v>1.31</v>
      </c>
      <c r="B265">
        <v>0</v>
      </c>
      <c r="C265">
        <f t="shared" si="20"/>
        <v>-682.42105263157873</v>
      </c>
      <c r="D265">
        <f t="shared" si="21"/>
        <v>-4.9049999999999996E-2</v>
      </c>
      <c r="E265">
        <f t="shared" si="22"/>
        <v>0.3954835562818188</v>
      </c>
      <c r="F265">
        <f t="shared" si="23"/>
        <v>0.37775607072058953</v>
      </c>
      <c r="G265">
        <f t="shared" si="24"/>
        <v>0</v>
      </c>
    </row>
    <row r="266" spans="1:7" x14ac:dyDescent="0.3">
      <c r="A266">
        <v>1.3149999999999999</v>
      </c>
      <c r="B266">
        <v>0</v>
      </c>
      <c r="C266">
        <f t="shared" si="20"/>
        <v>-682.42105263157873</v>
      </c>
      <c r="D266">
        <f t="shared" si="21"/>
        <v>-4.9049999999999996E-2</v>
      </c>
      <c r="E266">
        <f t="shared" si="22"/>
        <v>0.34643355628181882</v>
      </c>
      <c r="F266">
        <f t="shared" si="23"/>
        <v>0.37961086350199863</v>
      </c>
      <c r="G266">
        <f t="shared" si="24"/>
        <v>0</v>
      </c>
    </row>
    <row r="267" spans="1:7" x14ac:dyDescent="0.3">
      <c r="A267">
        <v>1.32</v>
      </c>
      <c r="B267">
        <v>0</v>
      </c>
      <c r="C267">
        <f t="shared" si="20"/>
        <v>-682.42105263157873</v>
      </c>
      <c r="D267">
        <f t="shared" si="21"/>
        <v>-4.9049999999999996E-2</v>
      </c>
      <c r="E267">
        <f t="shared" si="22"/>
        <v>0.29738355628181884</v>
      </c>
      <c r="F267">
        <f t="shared" si="23"/>
        <v>0.3812204062834077</v>
      </c>
      <c r="G267">
        <f t="shared" si="24"/>
        <v>0</v>
      </c>
    </row>
    <row r="268" spans="1:7" x14ac:dyDescent="0.3">
      <c r="A268">
        <v>1.325</v>
      </c>
      <c r="B268">
        <v>0</v>
      </c>
      <c r="C268">
        <f t="shared" si="20"/>
        <v>-682.42105263157873</v>
      </c>
      <c r="D268">
        <f t="shared" si="21"/>
        <v>-4.9049999999999996E-2</v>
      </c>
      <c r="E268">
        <f t="shared" si="22"/>
        <v>0.24833355628181886</v>
      </c>
      <c r="F268">
        <f t="shared" si="23"/>
        <v>0.38258469906481679</v>
      </c>
      <c r="G268">
        <f t="shared" si="24"/>
        <v>0</v>
      </c>
    </row>
    <row r="269" spans="1:7" x14ac:dyDescent="0.3">
      <c r="A269">
        <v>1.33</v>
      </c>
      <c r="B269">
        <v>0</v>
      </c>
      <c r="C269">
        <f t="shared" si="20"/>
        <v>-682.42105263157873</v>
      </c>
      <c r="D269">
        <f t="shared" si="21"/>
        <v>-4.9049999999999996E-2</v>
      </c>
      <c r="E269">
        <f t="shared" si="22"/>
        <v>0.19928355628181887</v>
      </c>
      <c r="F269">
        <f t="shared" si="23"/>
        <v>0.38370374184622591</v>
      </c>
      <c r="G269">
        <f t="shared" si="24"/>
        <v>0</v>
      </c>
    </row>
    <row r="270" spans="1:7" x14ac:dyDescent="0.3">
      <c r="A270">
        <v>1.335</v>
      </c>
      <c r="B270">
        <v>0</v>
      </c>
      <c r="C270">
        <f t="shared" si="20"/>
        <v>-682.42105263157873</v>
      </c>
      <c r="D270">
        <f t="shared" si="21"/>
        <v>-4.9049999999999996E-2</v>
      </c>
      <c r="E270">
        <f t="shared" si="22"/>
        <v>0.15023355628181889</v>
      </c>
      <c r="F270">
        <f t="shared" si="23"/>
        <v>0.384577534627635</v>
      </c>
      <c r="G270">
        <f t="shared" si="24"/>
        <v>0</v>
      </c>
    </row>
    <row r="271" spans="1:7" x14ac:dyDescent="0.3">
      <c r="A271">
        <v>1.34</v>
      </c>
      <c r="B271">
        <v>0</v>
      </c>
      <c r="C271">
        <f t="shared" si="20"/>
        <v>-682.42105263157873</v>
      </c>
      <c r="D271">
        <f t="shared" si="21"/>
        <v>-4.9049999999999996E-2</v>
      </c>
      <c r="E271">
        <f t="shared" si="22"/>
        <v>0.1011835562818189</v>
      </c>
      <c r="F271">
        <f t="shared" si="23"/>
        <v>0.38520607740904411</v>
      </c>
      <c r="G271">
        <f t="shared" si="24"/>
        <v>0</v>
      </c>
    </row>
    <row r="272" spans="1:7" x14ac:dyDescent="0.3">
      <c r="A272">
        <v>1.345</v>
      </c>
      <c r="B272">
        <v>0</v>
      </c>
      <c r="C272">
        <f t="shared" si="20"/>
        <v>-682.42105263157873</v>
      </c>
      <c r="D272">
        <f t="shared" si="21"/>
        <v>-4.9049999999999996E-2</v>
      </c>
      <c r="E272">
        <f t="shared" si="22"/>
        <v>5.2133556281818899E-2</v>
      </c>
      <c r="F272">
        <f t="shared" si="23"/>
        <v>0.3855893701904532</v>
      </c>
      <c r="G272">
        <f t="shared" si="24"/>
        <v>0</v>
      </c>
    </row>
    <row r="273" spans="1:7" x14ac:dyDescent="0.3">
      <c r="A273">
        <v>1.35</v>
      </c>
      <c r="B273">
        <v>0</v>
      </c>
      <c r="C273">
        <f t="shared" si="20"/>
        <v>-682.42105263157873</v>
      </c>
      <c r="D273">
        <f t="shared" si="21"/>
        <v>-4.9049999999999996E-2</v>
      </c>
      <c r="E273">
        <f t="shared" si="22"/>
        <v>3.0835562818189027E-3</v>
      </c>
      <c r="F273">
        <f t="shared" si="23"/>
        <v>0.3857274129718623</v>
      </c>
      <c r="G273">
        <f t="shared" si="24"/>
        <v>0</v>
      </c>
    </row>
    <row r="274" spans="1:7" x14ac:dyDescent="0.3">
      <c r="A274">
        <v>1.355</v>
      </c>
      <c r="B274">
        <v>0</v>
      </c>
      <c r="C274">
        <f t="shared" si="20"/>
        <v>-682.42105263157873</v>
      </c>
      <c r="D274">
        <f t="shared" si="21"/>
        <v>-4.9049999999999996E-2</v>
      </c>
      <c r="E274">
        <f t="shared" si="22"/>
        <v>-4.5966443718181094E-2</v>
      </c>
      <c r="F274">
        <f t="shared" si="23"/>
        <v>0.38562020575327138</v>
      </c>
      <c r="G274">
        <f t="shared" si="24"/>
        <v>0</v>
      </c>
    </row>
    <row r="275" spans="1:7" x14ac:dyDescent="0.3">
      <c r="A275">
        <v>1.36</v>
      </c>
      <c r="B275">
        <v>0</v>
      </c>
      <c r="C275">
        <f t="shared" si="20"/>
        <v>-682.42105263157873</v>
      </c>
      <c r="D275">
        <f t="shared" si="21"/>
        <v>-4.9049999999999996E-2</v>
      </c>
      <c r="E275">
        <f t="shared" si="22"/>
        <v>-9.501644371818109E-2</v>
      </c>
      <c r="F275">
        <f t="shared" si="23"/>
        <v>0.38526774853468049</v>
      </c>
      <c r="G275">
        <f t="shared" si="24"/>
        <v>0</v>
      </c>
    </row>
    <row r="276" spans="1:7" x14ac:dyDescent="0.3">
      <c r="A276">
        <v>1.365</v>
      </c>
      <c r="B276">
        <v>0</v>
      </c>
      <c r="C276">
        <f t="shared" si="20"/>
        <v>-682.42105263157873</v>
      </c>
      <c r="D276">
        <f t="shared" si="21"/>
        <v>-4.9049999999999996E-2</v>
      </c>
      <c r="E276">
        <f t="shared" si="22"/>
        <v>-0.14406644371818109</v>
      </c>
      <c r="F276">
        <f t="shared" si="23"/>
        <v>0.38467004131608956</v>
      </c>
      <c r="G276">
        <f t="shared" si="24"/>
        <v>0</v>
      </c>
    </row>
    <row r="277" spans="1:7" x14ac:dyDescent="0.3">
      <c r="A277">
        <v>1.37</v>
      </c>
      <c r="B277">
        <v>0</v>
      </c>
      <c r="C277">
        <f t="shared" si="20"/>
        <v>-682.42105263157873</v>
      </c>
      <c r="D277">
        <f t="shared" si="21"/>
        <v>-4.9049999999999996E-2</v>
      </c>
      <c r="E277">
        <f t="shared" si="22"/>
        <v>-0.1931164437181811</v>
      </c>
      <c r="F277">
        <f t="shared" si="23"/>
        <v>0.38382708409749866</v>
      </c>
      <c r="G277">
        <f t="shared" si="24"/>
        <v>0</v>
      </c>
    </row>
    <row r="278" spans="1:7" x14ac:dyDescent="0.3">
      <c r="A278">
        <v>1.375</v>
      </c>
      <c r="B278">
        <v>0</v>
      </c>
      <c r="C278">
        <f t="shared" si="20"/>
        <v>-682.42105263157873</v>
      </c>
      <c r="D278">
        <f t="shared" si="21"/>
        <v>-4.9049999999999996E-2</v>
      </c>
      <c r="E278">
        <f t="shared" si="22"/>
        <v>-0.24216644371818108</v>
      </c>
      <c r="F278">
        <f t="shared" si="23"/>
        <v>0.38273887687890773</v>
      </c>
      <c r="G278">
        <f t="shared" si="24"/>
        <v>0</v>
      </c>
    </row>
    <row r="279" spans="1:7" x14ac:dyDescent="0.3">
      <c r="A279">
        <v>1.38</v>
      </c>
      <c r="B279">
        <v>0</v>
      </c>
      <c r="C279">
        <f t="shared" si="20"/>
        <v>-682.42105263157873</v>
      </c>
      <c r="D279">
        <f t="shared" si="21"/>
        <v>-4.9049999999999996E-2</v>
      </c>
      <c r="E279">
        <f t="shared" si="22"/>
        <v>-0.29121644371818106</v>
      </c>
      <c r="F279">
        <f t="shared" si="23"/>
        <v>0.38140541966031682</v>
      </c>
      <c r="G279">
        <f t="shared" si="24"/>
        <v>0</v>
      </c>
    </row>
    <row r="280" spans="1:7" x14ac:dyDescent="0.3">
      <c r="A280">
        <v>1.385</v>
      </c>
      <c r="B280">
        <v>0</v>
      </c>
      <c r="C280">
        <f t="shared" si="20"/>
        <v>-682.42105263157873</v>
      </c>
      <c r="D280">
        <f t="shared" si="21"/>
        <v>-4.9049999999999996E-2</v>
      </c>
      <c r="E280">
        <f t="shared" si="22"/>
        <v>-0.34026644371818104</v>
      </c>
      <c r="F280">
        <f t="shared" si="23"/>
        <v>0.37982671244172594</v>
      </c>
      <c r="G280">
        <f t="shared" si="24"/>
        <v>0</v>
      </c>
    </row>
    <row r="281" spans="1:7" x14ac:dyDescent="0.3">
      <c r="A281">
        <v>1.39</v>
      </c>
      <c r="B281">
        <v>0</v>
      </c>
      <c r="C281">
        <f t="shared" si="20"/>
        <v>-682.42105263157873</v>
      </c>
      <c r="D281">
        <f t="shared" si="21"/>
        <v>-4.9049999999999996E-2</v>
      </c>
      <c r="E281">
        <f t="shared" si="22"/>
        <v>-0.38931644371818103</v>
      </c>
      <c r="F281">
        <f t="shared" si="23"/>
        <v>0.37800275522313503</v>
      </c>
      <c r="G281">
        <f t="shared" si="24"/>
        <v>0</v>
      </c>
    </row>
    <row r="282" spans="1:7" x14ac:dyDescent="0.3">
      <c r="A282">
        <v>1.395</v>
      </c>
      <c r="B282">
        <v>0</v>
      </c>
      <c r="C282">
        <f t="shared" si="20"/>
        <v>-682.42105263157873</v>
      </c>
      <c r="D282">
        <f t="shared" si="21"/>
        <v>-4.9049999999999996E-2</v>
      </c>
      <c r="E282">
        <f t="shared" si="22"/>
        <v>-0.43836644371818101</v>
      </c>
      <c r="F282">
        <f t="shared" si="23"/>
        <v>0.37593354800454415</v>
      </c>
      <c r="G282">
        <f t="shared" si="24"/>
        <v>0</v>
      </c>
    </row>
    <row r="283" spans="1:7" x14ac:dyDescent="0.3">
      <c r="A283">
        <v>1.4</v>
      </c>
      <c r="B283">
        <v>0</v>
      </c>
      <c r="C283">
        <f t="shared" si="20"/>
        <v>-682.42105263157873</v>
      </c>
      <c r="D283">
        <f t="shared" si="21"/>
        <v>-4.9049999999999996E-2</v>
      </c>
      <c r="E283">
        <f t="shared" si="22"/>
        <v>-0.48741644371818099</v>
      </c>
      <c r="F283">
        <f t="shared" si="23"/>
        <v>0.37361909078595323</v>
      </c>
      <c r="G283">
        <f t="shared" si="24"/>
        <v>0</v>
      </c>
    </row>
    <row r="284" spans="1:7" x14ac:dyDescent="0.3">
      <c r="A284">
        <v>1.405</v>
      </c>
      <c r="B284">
        <v>0</v>
      </c>
      <c r="C284">
        <f t="shared" si="20"/>
        <v>-682.42105263157873</v>
      </c>
      <c r="D284">
        <f t="shared" si="21"/>
        <v>-4.9049999999999996E-2</v>
      </c>
      <c r="E284">
        <f t="shared" si="22"/>
        <v>-0.53646644371818097</v>
      </c>
      <c r="F284">
        <f t="shared" si="23"/>
        <v>0.37105938356736234</v>
      </c>
      <c r="G284">
        <f t="shared" si="24"/>
        <v>0</v>
      </c>
    </row>
    <row r="285" spans="1:7" x14ac:dyDescent="0.3">
      <c r="A285">
        <v>1.41</v>
      </c>
      <c r="B285">
        <v>0</v>
      </c>
      <c r="C285">
        <f t="shared" si="20"/>
        <v>-682.42105263157873</v>
      </c>
      <c r="D285">
        <f t="shared" si="21"/>
        <v>-4.9049999999999996E-2</v>
      </c>
      <c r="E285">
        <f t="shared" si="22"/>
        <v>-0.58551644371818101</v>
      </c>
      <c r="F285">
        <f t="shared" si="23"/>
        <v>0.36825442634877142</v>
      </c>
      <c r="G285">
        <f t="shared" si="24"/>
        <v>0</v>
      </c>
    </row>
    <row r="286" spans="1:7" x14ac:dyDescent="0.3">
      <c r="A286">
        <v>1.415</v>
      </c>
      <c r="B286">
        <v>0</v>
      </c>
      <c r="C286">
        <f t="shared" si="20"/>
        <v>-682.42105263157873</v>
      </c>
      <c r="D286">
        <f t="shared" si="21"/>
        <v>-4.9049999999999996E-2</v>
      </c>
      <c r="E286">
        <f t="shared" si="22"/>
        <v>-0.63456644371818105</v>
      </c>
      <c r="F286">
        <f t="shared" si="23"/>
        <v>0.36520421913018053</v>
      </c>
      <c r="G286">
        <f t="shared" si="24"/>
        <v>0</v>
      </c>
    </row>
    <row r="287" spans="1:7" x14ac:dyDescent="0.3">
      <c r="A287">
        <v>1.42</v>
      </c>
      <c r="B287">
        <v>0</v>
      </c>
      <c r="C287">
        <f t="shared" si="20"/>
        <v>-682.42105263157873</v>
      </c>
      <c r="D287">
        <f t="shared" si="21"/>
        <v>-4.9049999999999996E-2</v>
      </c>
      <c r="E287">
        <f t="shared" si="22"/>
        <v>-0.68361644371818109</v>
      </c>
      <c r="F287">
        <f t="shared" si="23"/>
        <v>0.3619087619115896</v>
      </c>
      <c r="G287">
        <f t="shared" si="24"/>
        <v>0</v>
      </c>
    </row>
    <row r="288" spans="1:7" x14ac:dyDescent="0.3">
      <c r="A288">
        <v>1.425</v>
      </c>
      <c r="B288">
        <v>0</v>
      </c>
      <c r="C288">
        <f t="shared" si="20"/>
        <v>-682.42105263157873</v>
      </c>
      <c r="D288">
        <f t="shared" si="21"/>
        <v>-4.9049999999999996E-2</v>
      </c>
      <c r="E288">
        <f t="shared" si="22"/>
        <v>-0.73266644371818113</v>
      </c>
      <c r="F288">
        <f t="shared" si="23"/>
        <v>0.35836805469299871</v>
      </c>
      <c r="G288">
        <f t="shared" si="24"/>
        <v>0</v>
      </c>
    </row>
    <row r="289" spans="1:7" x14ac:dyDescent="0.3">
      <c r="A289">
        <v>1.43</v>
      </c>
      <c r="B289">
        <v>0</v>
      </c>
      <c r="C289">
        <f t="shared" si="20"/>
        <v>-682.42105263157873</v>
      </c>
      <c r="D289">
        <f t="shared" si="21"/>
        <v>-4.9049999999999996E-2</v>
      </c>
      <c r="E289">
        <f t="shared" si="22"/>
        <v>-0.78171644371818116</v>
      </c>
      <c r="F289">
        <f t="shared" si="23"/>
        <v>0.35458209747440778</v>
      </c>
      <c r="G289">
        <f t="shared" si="24"/>
        <v>0</v>
      </c>
    </row>
    <row r="290" spans="1:7" x14ac:dyDescent="0.3">
      <c r="A290">
        <v>1.4350000000000001</v>
      </c>
      <c r="B290">
        <v>0</v>
      </c>
      <c r="C290">
        <f t="shared" si="20"/>
        <v>-682.42105263157873</v>
      </c>
      <c r="D290">
        <f t="shared" si="21"/>
        <v>-4.9049999999999996E-2</v>
      </c>
      <c r="E290">
        <f t="shared" si="22"/>
        <v>-0.8307664437181812</v>
      </c>
      <c r="F290">
        <f t="shared" si="23"/>
        <v>0.35055089025581687</v>
      </c>
      <c r="G290">
        <f t="shared" si="24"/>
        <v>0</v>
      </c>
    </row>
    <row r="291" spans="1:7" x14ac:dyDescent="0.3">
      <c r="A291">
        <v>1.44</v>
      </c>
      <c r="B291">
        <v>0</v>
      </c>
      <c r="C291">
        <f t="shared" si="20"/>
        <v>-682.42105263157873</v>
      </c>
      <c r="D291">
        <f t="shared" si="21"/>
        <v>-4.9049999999999996E-2</v>
      </c>
      <c r="E291">
        <f t="shared" si="22"/>
        <v>-0.87981644371818124</v>
      </c>
      <c r="F291">
        <f t="shared" si="23"/>
        <v>0.34627443303722599</v>
      </c>
      <c r="G291">
        <f t="shared" si="24"/>
        <v>0</v>
      </c>
    </row>
    <row r="292" spans="1:7" x14ac:dyDescent="0.3">
      <c r="A292">
        <v>1.4450000000000001</v>
      </c>
      <c r="B292">
        <v>0</v>
      </c>
      <c r="C292">
        <f t="shared" si="20"/>
        <v>-682.42105263157873</v>
      </c>
      <c r="D292">
        <f t="shared" si="21"/>
        <v>-4.9049999999999996E-2</v>
      </c>
      <c r="E292">
        <f t="shared" si="22"/>
        <v>-0.92886644371818128</v>
      </c>
      <c r="F292">
        <f t="shared" si="23"/>
        <v>0.34175272581863508</v>
      </c>
      <c r="G292">
        <f t="shared" si="24"/>
        <v>0</v>
      </c>
    </row>
    <row r="293" spans="1:7" x14ac:dyDescent="0.3">
      <c r="A293">
        <v>1.45</v>
      </c>
      <c r="B293">
        <v>0</v>
      </c>
      <c r="C293">
        <f t="shared" si="20"/>
        <v>-682.42105263157873</v>
      </c>
      <c r="D293">
        <f t="shared" si="21"/>
        <v>-4.9049999999999996E-2</v>
      </c>
      <c r="E293">
        <f t="shared" si="22"/>
        <v>-0.97791644371818132</v>
      </c>
      <c r="F293">
        <f t="shared" si="23"/>
        <v>0.3369857686000442</v>
      </c>
      <c r="G293">
        <f t="shared" si="24"/>
        <v>0</v>
      </c>
    </row>
    <row r="294" spans="1:7" x14ac:dyDescent="0.3">
      <c r="A294">
        <v>1.4550000000000001</v>
      </c>
      <c r="B294">
        <v>0</v>
      </c>
      <c r="C294">
        <f t="shared" si="20"/>
        <v>-682.42105263157873</v>
      </c>
      <c r="D294">
        <f t="shared" si="21"/>
        <v>-4.9049999999999996E-2</v>
      </c>
      <c r="E294">
        <f t="shared" si="22"/>
        <v>-1.0269664437181814</v>
      </c>
      <c r="F294">
        <f t="shared" si="23"/>
        <v>0.33197356138145329</v>
      </c>
      <c r="G294">
        <f t="shared" si="24"/>
        <v>0</v>
      </c>
    </row>
    <row r="295" spans="1:7" x14ac:dyDescent="0.3">
      <c r="A295">
        <v>1.46</v>
      </c>
      <c r="B295">
        <v>0</v>
      </c>
      <c r="C295">
        <f t="shared" si="20"/>
        <v>-682.42105263157873</v>
      </c>
      <c r="D295">
        <f t="shared" si="21"/>
        <v>-4.9049999999999996E-2</v>
      </c>
      <c r="E295">
        <f t="shared" si="22"/>
        <v>-1.0760164437181814</v>
      </c>
      <c r="F295">
        <f t="shared" si="23"/>
        <v>0.3267161041628624</v>
      </c>
      <c r="G295">
        <f t="shared" si="24"/>
        <v>0</v>
      </c>
    </row>
    <row r="296" spans="1:7" x14ac:dyDescent="0.3">
      <c r="A296">
        <v>1.4650000000000001</v>
      </c>
      <c r="B296">
        <v>0</v>
      </c>
      <c r="C296">
        <f t="shared" si="20"/>
        <v>-682.42105263157873</v>
      </c>
      <c r="D296">
        <f t="shared" si="21"/>
        <v>-4.9049999999999996E-2</v>
      </c>
      <c r="E296">
        <f t="shared" si="22"/>
        <v>-1.1250664437181814</v>
      </c>
      <c r="F296">
        <f t="shared" si="23"/>
        <v>0.32121339694427148</v>
      </c>
      <c r="G296">
        <f t="shared" si="24"/>
        <v>0</v>
      </c>
    </row>
    <row r="297" spans="1:7" x14ac:dyDescent="0.3">
      <c r="A297">
        <v>1.47</v>
      </c>
      <c r="B297">
        <v>0</v>
      </c>
      <c r="C297">
        <f t="shared" si="20"/>
        <v>-682.42105263157873</v>
      </c>
      <c r="D297">
        <f t="shared" si="21"/>
        <v>-4.9049999999999996E-2</v>
      </c>
      <c r="E297">
        <f t="shared" si="22"/>
        <v>-1.1741164437181815</v>
      </c>
      <c r="F297">
        <f t="shared" si="23"/>
        <v>0.31546543972568059</v>
      </c>
      <c r="G297">
        <f t="shared" si="24"/>
        <v>0</v>
      </c>
    </row>
    <row r="298" spans="1:7" x14ac:dyDescent="0.3">
      <c r="A298">
        <v>1.4750000000000001</v>
      </c>
      <c r="B298">
        <v>0</v>
      </c>
      <c r="C298">
        <f t="shared" si="20"/>
        <v>-682.42105263157873</v>
      </c>
      <c r="D298">
        <f t="shared" si="21"/>
        <v>-4.9049999999999996E-2</v>
      </c>
      <c r="E298">
        <f t="shared" si="22"/>
        <v>-1.2231664437181815</v>
      </c>
      <c r="F298">
        <f t="shared" si="23"/>
        <v>0.30947223250708966</v>
      </c>
      <c r="G298">
        <f t="shared" si="24"/>
        <v>0</v>
      </c>
    </row>
    <row r="299" spans="1:7" x14ac:dyDescent="0.3">
      <c r="A299">
        <v>1.48</v>
      </c>
      <c r="B299">
        <v>0</v>
      </c>
      <c r="C299">
        <f t="shared" si="20"/>
        <v>-682.42105263157873</v>
      </c>
      <c r="D299">
        <f t="shared" si="21"/>
        <v>-4.9049999999999996E-2</v>
      </c>
      <c r="E299">
        <f t="shared" si="22"/>
        <v>-1.2722164437181815</v>
      </c>
      <c r="F299">
        <f t="shared" si="23"/>
        <v>0.30323377528849876</v>
      </c>
      <c r="G299">
        <f t="shared" si="24"/>
        <v>0</v>
      </c>
    </row>
    <row r="300" spans="1:7" x14ac:dyDescent="0.3">
      <c r="A300">
        <v>1.4850000000000001</v>
      </c>
      <c r="B300">
        <v>0</v>
      </c>
      <c r="C300">
        <f t="shared" si="20"/>
        <v>-682.42105263157873</v>
      </c>
      <c r="D300">
        <f t="shared" si="21"/>
        <v>-4.9049999999999996E-2</v>
      </c>
      <c r="E300">
        <f t="shared" si="22"/>
        <v>-1.3212664437181816</v>
      </c>
      <c r="F300">
        <f t="shared" si="23"/>
        <v>0.29675006806990784</v>
      </c>
      <c r="G300">
        <f t="shared" si="24"/>
        <v>0</v>
      </c>
    </row>
    <row r="301" spans="1:7" x14ac:dyDescent="0.3">
      <c r="A301">
        <v>1.49</v>
      </c>
      <c r="B301">
        <v>0</v>
      </c>
      <c r="C301">
        <f t="shared" si="20"/>
        <v>-682.42105263157873</v>
      </c>
      <c r="D301">
        <f t="shared" si="21"/>
        <v>-4.9049999999999996E-2</v>
      </c>
      <c r="E301">
        <f t="shared" si="22"/>
        <v>-1.3703164437181816</v>
      </c>
      <c r="F301">
        <f t="shared" si="23"/>
        <v>0.29002111085131693</v>
      </c>
      <c r="G301">
        <f t="shared" si="24"/>
        <v>0</v>
      </c>
    </row>
    <row r="302" spans="1:7" x14ac:dyDescent="0.3">
      <c r="A302">
        <v>1.4950000000000001</v>
      </c>
      <c r="B302">
        <v>0</v>
      </c>
      <c r="C302">
        <f t="shared" si="20"/>
        <v>-682.42105263157873</v>
      </c>
      <c r="D302">
        <f t="shared" si="21"/>
        <v>-4.9049999999999996E-2</v>
      </c>
      <c r="E302">
        <f t="shared" si="22"/>
        <v>-1.4193664437181817</v>
      </c>
      <c r="F302">
        <f t="shared" si="23"/>
        <v>0.283046903632726</v>
      </c>
      <c r="G302">
        <f t="shared" si="24"/>
        <v>0</v>
      </c>
    </row>
    <row r="303" spans="1:7" x14ac:dyDescent="0.3">
      <c r="A303">
        <v>1.5</v>
      </c>
      <c r="B303">
        <v>0</v>
      </c>
      <c r="C303">
        <f t="shared" si="20"/>
        <v>-682.42105263157873</v>
      </c>
      <c r="D303">
        <f t="shared" si="21"/>
        <v>-4.9049999999999996E-2</v>
      </c>
      <c r="E303">
        <f t="shared" si="22"/>
        <v>-1.4684164437181817</v>
      </c>
      <c r="F303">
        <f t="shared" si="23"/>
        <v>0.27582744641413509</v>
      </c>
      <c r="G303">
        <f t="shared" si="24"/>
        <v>0</v>
      </c>
    </row>
    <row r="304" spans="1:7" x14ac:dyDescent="0.3">
      <c r="A304">
        <v>1.5049999999999999</v>
      </c>
      <c r="B304">
        <v>0</v>
      </c>
      <c r="C304">
        <f t="shared" si="20"/>
        <v>-682.42105263157873</v>
      </c>
      <c r="D304">
        <f t="shared" si="21"/>
        <v>-4.9049999999999996E-2</v>
      </c>
      <c r="E304">
        <f t="shared" si="22"/>
        <v>-1.5174664437181817</v>
      </c>
      <c r="F304">
        <f t="shared" si="23"/>
        <v>0.26836273919554421</v>
      </c>
      <c r="G304">
        <f t="shared" si="24"/>
        <v>0</v>
      </c>
    </row>
    <row r="305" spans="1:7" x14ac:dyDescent="0.3">
      <c r="A305">
        <v>1.51</v>
      </c>
      <c r="B305">
        <v>0</v>
      </c>
      <c r="C305">
        <f t="shared" si="20"/>
        <v>-682.42105263157873</v>
      </c>
      <c r="D305">
        <f t="shared" si="21"/>
        <v>-4.9049999999999996E-2</v>
      </c>
      <c r="E305">
        <f t="shared" si="22"/>
        <v>-1.5665164437181818</v>
      </c>
      <c r="F305">
        <f t="shared" si="23"/>
        <v>0.2606527819769533</v>
      </c>
      <c r="G305">
        <f t="shared" si="24"/>
        <v>0</v>
      </c>
    </row>
    <row r="306" spans="1:7" x14ac:dyDescent="0.3">
      <c r="A306">
        <v>1.5149999999999999</v>
      </c>
      <c r="B306">
        <v>0</v>
      </c>
      <c r="C306">
        <f t="shared" si="20"/>
        <v>-682.42105263157873</v>
      </c>
      <c r="D306">
        <f t="shared" si="21"/>
        <v>-4.9049999999999996E-2</v>
      </c>
      <c r="E306">
        <f t="shared" si="22"/>
        <v>-1.6155664437181818</v>
      </c>
      <c r="F306">
        <f t="shared" si="23"/>
        <v>0.25269757475836241</v>
      </c>
      <c r="G306">
        <f t="shared" si="24"/>
        <v>0</v>
      </c>
    </row>
    <row r="307" spans="1:7" x14ac:dyDescent="0.3">
      <c r="A307">
        <v>1.52</v>
      </c>
      <c r="B307">
        <v>0</v>
      </c>
      <c r="C307">
        <f t="shared" si="20"/>
        <v>-682.42105263157873</v>
      </c>
      <c r="D307">
        <f t="shared" si="21"/>
        <v>-4.9049999999999996E-2</v>
      </c>
      <c r="E307">
        <f t="shared" si="22"/>
        <v>-1.6646164437181818</v>
      </c>
      <c r="F307">
        <f t="shared" si="23"/>
        <v>0.24449711753977149</v>
      </c>
      <c r="G307">
        <f t="shared" si="24"/>
        <v>0</v>
      </c>
    </row>
    <row r="308" spans="1:7" x14ac:dyDescent="0.3">
      <c r="A308">
        <v>1.5249999999999999</v>
      </c>
      <c r="B308">
        <v>0</v>
      </c>
      <c r="C308">
        <f t="shared" si="20"/>
        <v>-682.42105263157873</v>
      </c>
      <c r="D308">
        <f t="shared" si="21"/>
        <v>-4.9049999999999996E-2</v>
      </c>
      <c r="E308">
        <f t="shared" si="22"/>
        <v>-1.7136664437181819</v>
      </c>
      <c r="F308">
        <f t="shared" si="23"/>
        <v>0.23605141032118057</v>
      </c>
      <c r="G308">
        <f t="shared" si="24"/>
        <v>0</v>
      </c>
    </row>
    <row r="309" spans="1:7" x14ac:dyDescent="0.3">
      <c r="A309">
        <v>1.53</v>
      </c>
      <c r="B309">
        <v>0</v>
      </c>
      <c r="C309">
        <f t="shared" si="20"/>
        <v>-682.42105263157873</v>
      </c>
      <c r="D309">
        <f t="shared" si="21"/>
        <v>-4.9049999999999996E-2</v>
      </c>
      <c r="E309">
        <f t="shared" si="22"/>
        <v>-1.7627164437181819</v>
      </c>
      <c r="F309">
        <f t="shared" si="23"/>
        <v>0.22736045310258968</v>
      </c>
      <c r="G309">
        <f t="shared" si="24"/>
        <v>0</v>
      </c>
    </row>
    <row r="310" spans="1:7" x14ac:dyDescent="0.3">
      <c r="A310">
        <v>1.5349999999999999</v>
      </c>
      <c r="B310">
        <v>0</v>
      </c>
      <c r="C310">
        <f t="shared" si="20"/>
        <v>-682.42105263157873</v>
      </c>
      <c r="D310">
        <f t="shared" si="21"/>
        <v>-4.9049999999999996E-2</v>
      </c>
      <c r="E310">
        <f t="shared" si="22"/>
        <v>-1.811766443718182</v>
      </c>
      <c r="F310">
        <f t="shared" si="23"/>
        <v>0.21842424588399878</v>
      </c>
      <c r="G310">
        <f t="shared" si="24"/>
        <v>0</v>
      </c>
    </row>
    <row r="311" spans="1:7" x14ac:dyDescent="0.3">
      <c r="A311">
        <v>1.54</v>
      </c>
      <c r="B311">
        <v>0</v>
      </c>
      <c r="C311">
        <f t="shared" si="20"/>
        <v>-682.42105263157873</v>
      </c>
      <c r="D311">
        <f t="shared" si="21"/>
        <v>-4.9049999999999996E-2</v>
      </c>
      <c r="E311">
        <f t="shared" si="22"/>
        <v>-1.860816443718182</v>
      </c>
      <c r="F311">
        <f t="shared" si="23"/>
        <v>0.20924278866540788</v>
      </c>
      <c r="G311">
        <f t="shared" si="24"/>
        <v>0</v>
      </c>
    </row>
    <row r="312" spans="1:7" x14ac:dyDescent="0.3">
      <c r="A312">
        <v>1.5449999999999999</v>
      </c>
      <c r="B312">
        <v>0</v>
      </c>
      <c r="C312">
        <f t="shared" si="20"/>
        <v>-682.42105263157873</v>
      </c>
      <c r="D312">
        <f t="shared" si="21"/>
        <v>-4.9049999999999996E-2</v>
      </c>
      <c r="E312">
        <f t="shared" si="22"/>
        <v>-1.909866443718182</v>
      </c>
      <c r="F312">
        <f t="shared" si="23"/>
        <v>0.19981608144681698</v>
      </c>
      <c r="G312">
        <f t="shared" si="24"/>
        <v>0</v>
      </c>
    </row>
    <row r="313" spans="1:7" x14ac:dyDescent="0.3">
      <c r="A313">
        <v>1.55</v>
      </c>
      <c r="B313">
        <v>0</v>
      </c>
      <c r="C313">
        <f t="shared" si="20"/>
        <v>-682.42105263157873</v>
      </c>
      <c r="D313">
        <f t="shared" si="21"/>
        <v>-4.9049999999999996E-2</v>
      </c>
      <c r="E313">
        <f t="shared" si="22"/>
        <v>-1.9589164437181821</v>
      </c>
      <c r="F313">
        <f t="shared" si="23"/>
        <v>0.19014412422822607</v>
      </c>
      <c r="G313">
        <f t="shared" si="24"/>
        <v>0</v>
      </c>
    </row>
    <row r="314" spans="1:7" x14ac:dyDescent="0.3">
      <c r="A314">
        <v>1.5549999999999999</v>
      </c>
      <c r="B314">
        <v>0</v>
      </c>
      <c r="C314">
        <f t="shared" si="20"/>
        <v>-682.42105263157873</v>
      </c>
      <c r="D314">
        <f t="shared" si="21"/>
        <v>-4.9049999999999996E-2</v>
      </c>
      <c r="E314">
        <f t="shared" si="22"/>
        <v>-2.0079664437181819</v>
      </c>
      <c r="F314">
        <f t="shared" si="23"/>
        <v>0.18022691700963517</v>
      </c>
      <c r="G314">
        <f t="shared" si="24"/>
        <v>0</v>
      </c>
    </row>
    <row r="315" spans="1:7" x14ac:dyDescent="0.3">
      <c r="A315">
        <v>1.56</v>
      </c>
      <c r="B315">
        <v>0</v>
      </c>
      <c r="C315">
        <f t="shared" si="20"/>
        <v>-682.42105263157873</v>
      </c>
      <c r="D315">
        <f t="shared" si="21"/>
        <v>-4.9049999999999996E-2</v>
      </c>
      <c r="E315">
        <f t="shared" si="22"/>
        <v>-2.0570164437181817</v>
      </c>
      <c r="F315">
        <f t="shared" si="23"/>
        <v>0.17006445979104426</v>
      </c>
      <c r="G315">
        <f t="shared" si="24"/>
        <v>0</v>
      </c>
    </row>
    <row r="316" spans="1:7" x14ac:dyDescent="0.3">
      <c r="A316">
        <v>1.5649999999999999</v>
      </c>
      <c r="B316">
        <v>0</v>
      </c>
      <c r="C316">
        <f t="shared" si="20"/>
        <v>-682.42105263157873</v>
      </c>
      <c r="D316">
        <f t="shared" si="21"/>
        <v>-4.9049999999999996E-2</v>
      </c>
      <c r="E316">
        <f t="shared" si="22"/>
        <v>-2.1060664437181815</v>
      </c>
      <c r="F316">
        <f t="shared" si="23"/>
        <v>0.15965675257245335</v>
      </c>
      <c r="G316">
        <f t="shared" si="24"/>
        <v>0</v>
      </c>
    </row>
    <row r="317" spans="1:7" x14ac:dyDescent="0.3">
      <c r="A317">
        <v>1.57</v>
      </c>
      <c r="B317">
        <v>0</v>
      </c>
      <c r="C317">
        <f t="shared" si="20"/>
        <v>-682.42105263157873</v>
      </c>
      <c r="D317">
        <f t="shared" si="21"/>
        <v>-4.9049999999999996E-2</v>
      </c>
      <c r="E317">
        <f t="shared" si="22"/>
        <v>-2.1551164437181813</v>
      </c>
      <c r="F317">
        <f t="shared" si="23"/>
        <v>0.14900379535386243</v>
      </c>
      <c r="G317">
        <f t="shared" si="24"/>
        <v>0</v>
      </c>
    </row>
    <row r="318" spans="1:7" x14ac:dyDescent="0.3">
      <c r="A318">
        <v>1.575</v>
      </c>
      <c r="B318">
        <v>0</v>
      </c>
      <c r="C318">
        <f t="shared" si="20"/>
        <v>-682.42105263157873</v>
      </c>
      <c r="D318">
        <f t="shared" si="21"/>
        <v>-4.9049999999999996E-2</v>
      </c>
      <c r="E318">
        <f t="shared" si="22"/>
        <v>-2.2041664437181812</v>
      </c>
      <c r="F318">
        <f t="shared" si="23"/>
        <v>0.13810558813527152</v>
      </c>
      <c r="G318">
        <f t="shared" si="24"/>
        <v>0</v>
      </c>
    </row>
    <row r="319" spans="1:7" x14ac:dyDescent="0.3">
      <c r="A319">
        <v>1.58</v>
      </c>
      <c r="B319">
        <v>0</v>
      </c>
      <c r="C319">
        <f t="shared" si="20"/>
        <v>-682.42105263157873</v>
      </c>
      <c r="D319">
        <f t="shared" si="21"/>
        <v>-4.9049999999999996E-2</v>
      </c>
      <c r="E319">
        <f t="shared" si="22"/>
        <v>-2.253216443718181</v>
      </c>
      <c r="F319">
        <f t="shared" si="23"/>
        <v>0.12696213091668063</v>
      </c>
      <c r="G319">
        <f t="shared" si="24"/>
        <v>0</v>
      </c>
    </row>
    <row r="320" spans="1:7" x14ac:dyDescent="0.3">
      <c r="A320">
        <v>1.585</v>
      </c>
      <c r="B320">
        <v>0</v>
      </c>
      <c r="C320">
        <f t="shared" si="20"/>
        <v>-682.42105263157873</v>
      </c>
      <c r="D320">
        <f t="shared" si="21"/>
        <v>-4.9049999999999996E-2</v>
      </c>
      <c r="E320">
        <f t="shared" si="22"/>
        <v>-2.3022664437181808</v>
      </c>
      <c r="F320">
        <f t="shared" si="23"/>
        <v>0.11557342369808972</v>
      </c>
      <c r="G320">
        <f t="shared" si="24"/>
        <v>0</v>
      </c>
    </row>
    <row r="321" spans="1:7" x14ac:dyDescent="0.3">
      <c r="A321">
        <v>1.59</v>
      </c>
      <c r="B321">
        <v>0</v>
      </c>
      <c r="C321">
        <f t="shared" si="20"/>
        <v>-682.42105263157873</v>
      </c>
      <c r="D321">
        <f t="shared" si="21"/>
        <v>-4.9049999999999996E-2</v>
      </c>
      <c r="E321">
        <f t="shared" si="22"/>
        <v>-2.3513164437181806</v>
      </c>
      <c r="F321">
        <f t="shared" si="23"/>
        <v>0.10393946647949881</v>
      </c>
      <c r="G321">
        <f t="shared" si="24"/>
        <v>0</v>
      </c>
    </row>
    <row r="322" spans="1:7" x14ac:dyDescent="0.3">
      <c r="A322">
        <v>1.595</v>
      </c>
      <c r="B322">
        <v>0</v>
      </c>
      <c r="C322">
        <f t="shared" si="20"/>
        <v>-682.42105263157873</v>
      </c>
      <c r="D322">
        <f t="shared" si="21"/>
        <v>-4.9049999999999996E-2</v>
      </c>
      <c r="E322">
        <f t="shared" si="22"/>
        <v>-2.4003664437181804</v>
      </c>
      <c r="F322">
        <f t="shared" si="23"/>
        <v>9.2060259260907912E-2</v>
      </c>
      <c r="G322">
        <f t="shared" si="24"/>
        <v>0</v>
      </c>
    </row>
    <row r="323" spans="1:7" x14ac:dyDescent="0.3">
      <c r="A323">
        <v>1.6</v>
      </c>
      <c r="B323">
        <v>0</v>
      </c>
      <c r="C323">
        <f t="shared" si="20"/>
        <v>-682.42105263157873</v>
      </c>
      <c r="D323">
        <f t="shared" si="21"/>
        <v>-4.9049999999999996E-2</v>
      </c>
      <c r="E323">
        <f t="shared" si="22"/>
        <v>-2.4494164437181802</v>
      </c>
      <c r="F323">
        <f t="shared" si="23"/>
        <v>7.9935802042317011E-2</v>
      </c>
      <c r="G323">
        <f t="shared" si="24"/>
        <v>0</v>
      </c>
    </row>
    <row r="324" spans="1:7" x14ac:dyDescent="0.3">
      <c r="A324">
        <v>1.605</v>
      </c>
      <c r="B324">
        <v>0</v>
      </c>
      <c r="C324">
        <f t="shared" ref="C324:C387" si="25">B324+$C$1</f>
        <v>-682.42105263157873</v>
      </c>
      <c r="D324">
        <f t="shared" si="21"/>
        <v>-4.9049999999999996E-2</v>
      </c>
      <c r="E324">
        <f t="shared" si="22"/>
        <v>-2.4984664437181801</v>
      </c>
      <c r="F324">
        <f t="shared" si="23"/>
        <v>6.7566094823726108E-2</v>
      </c>
      <c r="G324">
        <f t="shared" si="24"/>
        <v>0</v>
      </c>
    </row>
    <row r="325" spans="1:7" x14ac:dyDescent="0.3">
      <c r="A325">
        <v>1.61</v>
      </c>
      <c r="B325">
        <v>0</v>
      </c>
      <c r="C325">
        <f t="shared" si="25"/>
        <v>-682.42105263157873</v>
      </c>
      <c r="D325">
        <f t="shared" ref="D325:D388" si="26">1/$E$1*(C324+C325)*0.005/2</f>
        <v>-4.9049999999999996E-2</v>
      </c>
      <c r="E325">
        <f t="shared" ref="E325:E388" si="27">E324+D325</f>
        <v>-2.5475164437181799</v>
      </c>
      <c r="F325">
        <f t="shared" ref="F325:F388" si="28">F324+(E324+E325)*0.005/2</f>
        <v>5.495113760513521E-2</v>
      </c>
      <c r="G325">
        <f t="shared" ref="G325:G388" si="29">B325*E325</f>
        <v>0</v>
      </c>
    </row>
    <row r="326" spans="1:7" x14ac:dyDescent="0.3">
      <c r="A326">
        <v>1.615</v>
      </c>
      <c r="B326">
        <v>0</v>
      </c>
      <c r="C326">
        <f t="shared" si="25"/>
        <v>-682.42105263157873</v>
      </c>
      <c r="D326">
        <f t="shared" si="26"/>
        <v>-4.9049999999999996E-2</v>
      </c>
      <c r="E326">
        <f t="shared" si="27"/>
        <v>-2.5965664437181797</v>
      </c>
      <c r="F326">
        <f t="shared" si="28"/>
        <v>4.2090930386544309E-2</v>
      </c>
      <c r="G326">
        <f t="shared" si="29"/>
        <v>0</v>
      </c>
    </row>
    <row r="327" spans="1:7" x14ac:dyDescent="0.3">
      <c r="A327">
        <v>1.62</v>
      </c>
      <c r="B327">
        <v>0</v>
      </c>
      <c r="C327">
        <f t="shared" si="25"/>
        <v>-682.42105263157873</v>
      </c>
      <c r="D327">
        <f t="shared" si="26"/>
        <v>-4.9049999999999996E-2</v>
      </c>
      <c r="E327">
        <f t="shared" si="27"/>
        <v>-2.6456164437181795</v>
      </c>
      <c r="F327">
        <f t="shared" si="28"/>
        <v>2.8985473167953413E-2</v>
      </c>
      <c r="G327">
        <f t="shared" si="29"/>
        <v>0</v>
      </c>
    </row>
    <row r="328" spans="1:7" x14ac:dyDescent="0.3">
      <c r="A328">
        <v>1.625</v>
      </c>
      <c r="B328">
        <v>0</v>
      </c>
      <c r="C328">
        <f t="shared" si="25"/>
        <v>-682.42105263157873</v>
      </c>
      <c r="D328">
        <f t="shared" si="26"/>
        <v>-4.9049999999999996E-2</v>
      </c>
      <c r="E328">
        <f t="shared" si="27"/>
        <v>-2.6946664437181793</v>
      </c>
      <c r="F328">
        <f t="shared" si="28"/>
        <v>1.5634765949362514E-2</v>
      </c>
      <c r="G328">
        <f t="shared" si="29"/>
        <v>0</v>
      </c>
    </row>
    <row r="329" spans="1:7" x14ac:dyDescent="0.3">
      <c r="A329">
        <v>1.63</v>
      </c>
      <c r="B329">
        <v>0</v>
      </c>
      <c r="C329">
        <f t="shared" si="25"/>
        <v>-682.42105263157873</v>
      </c>
      <c r="D329">
        <f t="shared" si="26"/>
        <v>-4.9049999999999996E-2</v>
      </c>
      <c r="E329">
        <f t="shared" si="27"/>
        <v>-2.7437164437181791</v>
      </c>
      <c r="F329">
        <f t="shared" si="28"/>
        <v>2.0388087307716182E-3</v>
      </c>
      <c r="G329">
        <f t="shared" si="29"/>
        <v>0</v>
      </c>
    </row>
    <row r="330" spans="1:7" x14ac:dyDescent="0.3">
      <c r="A330">
        <v>1.635</v>
      </c>
      <c r="B330">
        <v>0</v>
      </c>
      <c r="C330">
        <f t="shared" si="25"/>
        <v>-682.42105263157873</v>
      </c>
      <c r="D330">
        <f t="shared" si="26"/>
        <v>-4.9049999999999996E-2</v>
      </c>
      <c r="E330">
        <f t="shared" si="27"/>
        <v>-2.7927664437181789</v>
      </c>
      <c r="F330">
        <f t="shared" si="28"/>
        <v>-1.1802398487819278E-2</v>
      </c>
      <c r="G330">
        <f t="shared" si="29"/>
        <v>0</v>
      </c>
    </row>
    <row r="331" spans="1:7" x14ac:dyDescent="0.3">
      <c r="A331">
        <v>1.64</v>
      </c>
      <c r="B331">
        <v>0</v>
      </c>
      <c r="C331">
        <f t="shared" si="25"/>
        <v>-682.42105263157873</v>
      </c>
      <c r="D331">
        <f t="shared" si="26"/>
        <v>-4.9049999999999996E-2</v>
      </c>
      <c r="E331">
        <f t="shared" si="27"/>
        <v>-2.8418164437181788</v>
      </c>
      <c r="F331">
        <f t="shared" si="28"/>
        <v>-2.5888855706410172E-2</v>
      </c>
      <c r="G331">
        <f t="shared" si="29"/>
        <v>0</v>
      </c>
    </row>
    <row r="332" spans="1:7" x14ac:dyDescent="0.3">
      <c r="A332">
        <v>1.645</v>
      </c>
      <c r="B332">
        <v>0</v>
      </c>
      <c r="C332">
        <f t="shared" si="25"/>
        <v>-682.42105263157873</v>
      </c>
      <c r="D332">
        <f t="shared" si="26"/>
        <v>-4.9049999999999996E-2</v>
      </c>
      <c r="E332">
        <f t="shared" si="27"/>
        <v>-2.8908664437181786</v>
      </c>
      <c r="F332">
        <f t="shared" si="28"/>
        <v>-4.0220562925001063E-2</v>
      </c>
      <c r="G332">
        <f t="shared" si="29"/>
        <v>0</v>
      </c>
    </row>
    <row r="333" spans="1:7" x14ac:dyDescent="0.3">
      <c r="A333">
        <v>1.65</v>
      </c>
      <c r="B333">
        <v>0</v>
      </c>
      <c r="C333">
        <f t="shared" si="25"/>
        <v>-682.42105263157873</v>
      </c>
      <c r="D333">
        <f t="shared" si="26"/>
        <v>-4.9049999999999996E-2</v>
      </c>
      <c r="E333">
        <f t="shared" si="27"/>
        <v>-2.9399164437181784</v>
      </c>
      <c r="F333">
        <f t="shared" si="28"/>
        <v>-5.4797520143591953E-2</v>
      </c>
      <c r="G333">
        <f t="shared" si="29"/>
        <v>0</v>
      </c>
    </row>
    <row r="334" spans="1:7" x14ac:dyDescent="0.3">
      <c r="A334">
        <v>1.655</v>
      </c>
      <c r="B334">
        <v>0</v>
      </c>
      <c r="C334">
        <f t="shared" si="25"/>
        <v>-682.42105263157873</v>
      </c>
      <c r="D334">
        <f t="shared" si="26"/>
        <v>-4.9049999999999996E-2</v>
      </c>
      <c r="E334">
        <f t="shared" si="27"/>
        <v>-2.9889664437181782</v>
      </c>
      <c r="F334">
        <f t="shared" si="28"/>
        <v>-6.9619727362182846E-2</v>
      </c>
      <c r="G334">
        <f t="shared" si="29"/>
        <v>0</v>
      </c>
    </row>
    <row r="335" spans="1:7" x14ac:dyDescent="0.3">
      <c r="A335">
        <v>1.66</v>
      </c>
      <c r="B335">
        <v>0</v>
      </c>
      <c r="C335">
        <f t="shared" si="25"/>
        <v>-682.42105263157873</v>
      </c>
      <c r="D335">
        <f t="shared" si="26"/>
        <v>-4.9049999999999996E-2</v>
      </c>
      <c r="E335">
        <f t="shared" si="27"/>
        <v>-3.038016443718178</v>
      </c>
      <c r="F335">
        <f t="shared" si="28"/>
        <v>-8.4687184580773733E-2</v>
      </c>
      <c r="G335">
        <f t="shared" si="29"/>
        <v>0</v>
      </c>
    </row>
    <row r="336" spans="1:7" x14ac:dyDescent="0.3">
      <c r="A336">
        <v>1.665</v>
      </c>
      <c r="B336">
        <v>0</v>
      </c>
      <c r="C336">
        <f t="shared" si="25"/>
        <v>-682.42105263157873</v>
      </c>
      <c r="D336">
        <f t="shared" si="26"/>
        <v>-4.9049999999999996E-2</v>
      </c>
      <c r="E336">
        <f t="shared" si="27"/>
        <v>-3.0870664437181778</v>
      </c>
      <c r="F336">
        <f t="shared" si="28"/>
        <v>-9.9999891799364624E-2</v>
      </c>
      <c r="G336">
        <f t="shared" si="29"/>
        <v>0</v>
      </c>
    </row>
    <row r="337" spans="1:7" x14ac:dyDescent="0.3">
      <c r="A337">
        <v>1.67</v>
      </c>
      <c r="B337">
        <v>0</v>
      </c>
      <c r="C337">
        <f t="shared" si="25"/>
        <v>-682.42105263157873</v>
      </c>
      <c r="D337">
        <f t="shared" si="26"/>
        <v>-4.9049999999999996E-2</v>
      </c>
      <c r="E337">
        <f t="shared" si="27"/>
        <v>-3.1361164437181777</v>
      </c>
      <c r="F337">
        <f t="shared" si="28"/>
        <v>-0.11555784901795552</v>
      </c>
      <c r="G337">
        <f t="shared" si="29"/>
        <v>0</v>
      </c>
    </row>
    <row r="338" spans="1:7" x14ac:dyDescent="0.3">
      <c r="A338">
        <v>1.675</v>
      </c>
      <c r="B338">
        <v>0</v>
      </c>
      <c r="C338">
        <f t="shared" si="25"/>
        <v>-682.42105263157873</v>
      </c>
      <c r="D338">
        <f t="shared" si="26"/>
        <v>-4.9049999999999996E-2</v>
      </c>
      <c r="E338">
        <f t="shared" si="27"/>
        <v>-3.1851664437181775</v>
      </c>
      <c r="F338">
        <f t="shared" si="28"/>
        <v>-0.1313610562365464</v>
      </c>
      <c r="G338">
        <f t="shared" si="29"/>
        <v>0</v>
      </c>
    </row>
    <row r="339" spans="1:7" x14ac:dyDescent="0.3">
      <c r="A339">
        <v>1.68</v>
      </c>
      <c r="B339">
        <v>0</v>
      </c>
      <c r="C339">
        <f t="shared" si="25"/>
        <v>-682.42105263157873</v>
      </c>
      <c r="D339">
        <f t="shared" si="26"/>
        <v>-4.9049999999999996E-2</v>
      </c>
      <c r="E339">
        <f t="shared" si="27"/>
        <v>-3.2342164437181773</v>
      </c>
      <c r="F339">
        <f t="shared" si="28"/>
        <v>-0.14740951345513728</v>
      </c>
      <c r="G339">
        <f t="shared" si="29"/>
        <v>0</v>
      </c>
    </row>
    <row r="340" spans="1:7" x14ac:dyDescent="0.3">
      <c r="A340">
        <v>1.6850000000000001</v>
      </c>
      <c r="B340">
        <v>0</v>
      </c>
      <c r="C340">
        <f t="shared" si="25"/>
        <v>-682.42105263157873</v>
      </c>
      <c r="D340">
        <f t="shared" si="26"/>
        <v>-4.9049999999999996E-2</v>
      </c>
      <c r="E340">
        <f t="shared" si="27"/>
        <v>-3.2832664437181771</v>
      </c>
      <c r="F340">
        <f t="shared" si="28"/>
        <v>-0.16370322067372817</v>
      </c>
      <c r="G340">
        <f t="shared" si="29"/>
        <v>0</v>
      </c>
    </row>
    <row r="341" spans="1:7" x14ac:dyDescent="0.3">
      <c r="A341">
        <v>1.69</v>
      </c>
      <c r="B341">
        <v>0</v>
      </c>
      <c r="C341">
        <f t="shared" si="25"/>
        <v>-682.42105263157873</v>
      </c>
      <c r="D341">
        <f t="shared" si="26"/>
        <v>-4.9049999999999996E-2</v>
      </c>
      <c r="E341">
        <f t="shared" si="27"/>
        <v>-3.3323164437181769</v>
      </c>
      <c r="F341">
        <f t="shared" si="28"/>
        <v>-0.18024217789231906</v>
      </c>
      <c r="G341">
        <f t="shared" si="29"/>
        <v>0</v>
      </c>
    </row>
    <row r="342" spans="1:7" x14ac:dyDescent="0.3">
      <c r="A342">
        <v>1.6950000000000001</v>
      </c>
      <c r="B342">
        <v>0</v>
      </c>
      <c r="C342">
        <f t="shared" si="25"/>
        <v>-682.42105263157873</v>
      </c>
      <c r="D342">
        <f t="shared" si="26"/>
        <v>-4.9049999999999996E-2</v>
      </c>
      <c r="E342">
        <f t="shared" si="27"/>
        <v>-3.3813664437181767</v>
      </c>
      <c r="F342">
        <f t="shared" si="28"/>
        <v>-0.19702638511090995</v>
      </c>
      <c r="G342">
        <f t="shared" si="29"/>
        <v>0</v>
      </c>
    </row>
    <row r="343" spans="1:7" x14ac:dyDescent="0.3">
      <c r="A343">
        <v>1.7</v>
      </c>
      <c r="B343">
        <v>0</v>
      </c>
      <c r="C343">
        <f t="shared" si="25"/>
        <v>-682.42105263157873</v>
      </c>
      <c r="D343">
        <f t="shared" si="26"/>
        <v>-4.9049999999999996E-2</v>
      </c>
      <c r="E343">
        <f t="shared" si="27"/>
        <v>-3.4304164437181766</v>
      </c>
      <c r="F343">
        <f t="shared" si="28"/>
        <v>-0.21405584232950084</v>
      </c>
      <c r="G343">
        <f t="shared" si="29"/>
        <v>0</v>
      </c>
    </row>
    <row r="344" spans="1:7" x14ac:dyDescent="0.3">
      <c r="A344">
        <v>1.7050000000000001</v>
      </c>
      <c r="B344">
        <v>0</v>
      </c>
      <c r="C344">
        <f t="shared" si="25"/>
        <v>-682.42105263157873</v>
      </c>
      <c r="D344">
        <f t="shared" si="26"/>
        <v>-4.9049999999999996E-2</v>
      </c>
      <c r="E344">
        <f t="shared" si="27"/>
        <v>-3.4794664437181764</v>
      </c>
      <c r="F344">
        <f t="shared" si="28"/>
        <v>-0.23133054954809174</v>
      </c>
      <c r="G344">
        <f t="shared" si="29"/>
        <v>0</v>
      </c>
    </row>
    <row r="345" spans="1:7" x14ac:dyDescent="0.3">
      <c r="A345">
        <v>1.71</v>
      </c>
      <c r="B345">
        <v>0</v>
      </c>
      <c r="C345">
        <f t="shared" si="25"/>
        <v>-682.42105263157873</v>
      </c>
      <c r="D345">
        <f t="shared" si="26"/>
        <v>-4.9049999999999996E-2</v>
      </c>
      <c r="E345">
        <f t="shared" si="27"/>
        <v>-3.5285164437181762</v>
      </c>
      <c r="F345">
        <f t="shared" si="28"/>
        <v>-0.24885050676668261</v>
      </c>
      <c r="G345">
        <f t="shared" si="29"/>
        <v>0</v>
      </c>
    </row>
    <row r="346" spans="1:7" x14ac:dyDescent="0.3">
      <c r="A346">
        <v>1.7150000000000001</v>
      </c>
      <c r="B346">
        <v>0</v>
      </c>
      <c r="C346">
        <f t="shared" si="25"/>
        <v>-682.42105263157873</v>
      </c>
      <c r="D346">
        <f t="shared" si="26"/>
        <v>-4.9049999999999996E-2</v>
      </c>
      <c r="E346">
        <f t="shared" si="27"/>
        <v>-3.577566443718176</v>
      </c>
      <c r="F346">
        <f t="shared" si="28"/>
        <v>-0.26661571398527351</v>
      </c>
      <c r="G346">
        <f t="shared" si="29"/>
        <v>0</v>
      </c>
    </row>
    <row r="347" spans="1:7" x14ac:dyDescent="0.3">
      <c r="A347">
        <v>1.72</v>
      </c>
      <c r="B347">
        <v>0</v>
      </c>
      <c r="C347">
        <f t="shared" si="25"/>
        <v>-682.42105263157873</v>
      </c>
      <c r="D347">
        <f t="shared" si="26"/>
        <v>-4.9049999999999996E-2</v>
      </c>
      <c r="E347">
        <f t="shared" si="27"/>
        <v>-3.6266164437181758</v>
      </c>
      <c r="F347">
        <f t="shared" si="28"/>
        <v>-0.28462617120386441</v>
      </c>
      <c r="G347">
        <f t="shared" si="29"/>
        <v>0</v>
      </c>
    </row>
    <row r="348" spans="1:7" x14ac:dyDescent="0.3">
      <c r="A348">
        <v>1.7250000000000001</v>
      </c>
      <c r="B348">
        <v>0</v>
      </c>
      <c r="C348">
        <f t="shared" si="25"/>
        <v>-682.42105263157873</v>
      </c>
      <c r="D348">
        <f t="shared" si="26"/>
        <v>-4.9049999999999996E-2</v>
      </c>
      <c r="E348">
        <f t="shared" si="27"/>
        <v>-3.6756664437181756</v>
      </c>
      <c r="F348">
        <f t="shared" si="28"/>
        <v>-0.30288187842245529</v>
      </c>
      <c r="G348">
        <f t="shared" si="29"/>
        <v>0</v>
      </c>
    </row>
    <row r="349" spans="1:7" x14ac:dyDescent="0.3">
      <c r="A349">
        <v>1.73</v>
      </c>
      <c r="B349">
        <v>0</v>
      </c>
      <c r="C349">
        <f t="shared" si="25"/>
        <v>-682.42105263157873</v>
      </c>
      <c r="D349">
        <f t="shared" si="26"/>
        <v>-4.9049999999999996E-2</v>
      </c>
      <c r="E349">
        <f t="shared" si="27"/>
        <v>-3.7247164437181755</v>
      </c>
      <c r="F349">
        <f t="shared" si="28"/>
        <v>-0.32138283564104614</v>
      </c>
      <c r="G349">
        <f t="shared" si="29"/>
        <v>0</v>
      </c>
    </row>
    <row r="350" spans="1:7" x14ac:dyDescent="0.3">
      <c r="A350">
        <v>1.7350000000000001</v>
      </c>
      <c r="B350">
        <v>0</v>
      </c>
      <c r="C350">
        <f t="shared" si="25"/>
        <v>-682.42105263157873</v>
      </c>
      <c r="D350">
        <f t="shared" si="26"/>
        <v>-4.9049999999999996E-2</v>
      </c>
      <c r="E350">
        <f t="shared" si="27"/>
        <v>-3.7737664437181753</v>
      </c>
      <c r="F350">
        <f t="shared" si="28"/>
        <v>-0.34012904285963702</v>
      </c>
      <c r="G350">
        <f t="shared" si="29"/>
        <v>0</v>
      </c>
    </row>
    <row r="351" spans="1:7" x14ac:dyDescent="0.3">
      <c r="A351">
        <v>1.74</v>
      </c>
      <c r="B351">
        <v>0</v>
      </c>
      <c r="C351">
        <f t="shared" si="25"/>
        <v>-682.42105263157873</v>
      </c>
      <c r="D351">
        <f t="shared" si="26"/>
        <v>-4.9049999999999996E-2</v>
      </c>
      <c r="E351">
        <f t="shared" si="27"/>
        <v>-3.8228164437181751</v>
      </c>
      <c r="F351">
        <f t="shared" si="28"/>
        <v>-0.35912050007822788</v>
      </c>
      <c r="G351">
        <f t="shared" si="29"/>
        <v>0</v>
      </c>
    </row>
    <row r="352" spans="1:7" x14ac:dyDescent="0.3">
      <c r="A352">
        <v>1.7450000000000001</v>
      </c>
      <c r="B352">
        <v>0</v>
      </c>
      <c r="C352">
        <f t="shared" si="25"/>
        <v>-682.42105263157873</v>
      </c>
      <c r="D352">
        <f t="shared" si="26"/>
        <v>-4.9049999999999996E-2</v>
      </c>
      <c r="E352">
        <f t="shared" si="27"/>
        <v>-3.8718664437181749</v>
      </c>
      <c r="F352">
        <f t="shared" si="28"/>
        <v>-0.37835720729681876</v>
      </c>
      <c r="G352">
        <f t="shared" si="29"/>
        <v>0</v>
      </c>
    </row>
    <row r="353" spans="1:7" x14ac:dyDescent="0.3">
      <c r="A353">
        <v>1.75</v>
      </c>
      <c r="B353">
        <v>0</v>
      </c>
      <c r="C353">
        <f t="shared" si="25"/>
        <v>-682.42105263157873</v>
      </c>
      <c r="D353">
        <f t="shared" si="26"/>
        <v>-4.9049999999999996E-2</v>
      </c>
      <c r="E353">
        <f t="shared" si="27"/>
        <v>-3.9209164437181747</v>
      </c>
      <c r="F353">
        <f t="shared" si="28"/>
        <v>-0.39783916451540963</v>
      </c>
      <c r="G353">
        <f t="shared" si="29"/>
        <v>0</v>
      </c>
    </row>
    <row r="354" spans="1:7" x14ac:dyDescent="0.3">
      <c r="A354">
        <v>1.7549999999999999</v>
      </c>
      <c r="B354">
        <v>0</v>
      </c>
      <c r="C354">
        <f t="shared" si="25"/>
        <v>-682.42105263157873</v>
      </c>
      <c r="D354">
        <f t="shared" si="26"/>
        <v>-4.9049999999999996E-2</v>
      </c>
      <c r="E354">
        <f t="shared" si="27"/>
        <v>-3.9699664437181745</v>
      </c>
      <c r="F354">
        <f t="shared" si="28"/>
        <v>-0.41756637173400052</v>
      </c>
      <c r="G354">
        <f t="shared" si="29"/>
        <v>0</v>
      </c>
    </row>
    <row r="355" spans="1:7" x14ac:dyDescent="0.3">
      <c r="A355">
        <v>1.76</v>
      </c>
      <c r="B355">
        <v>0</v>
      </c>
      <c r="C355">
        <f t="shared" si="25"/>
        <v>-682.42105263157873</v>
      </c>
      <c r="D355">
        <f t="shared" si="26"/>
        <v>-4.9049999999999996E-2</v>
      </c>
      <c r="E355">
        <f t="shared" si="27"/>
        <v>-4.0190164437181748</v>
      </c>
      <c r="F355">
        <f t="shared" si="28"/>
        <v>-0.43753882895259139</v>
      </c>
      <c r="G355">
        <f t="shared" si="29"/>
        <v>0</v>
      </c>
    </row>
    <row r="356" spans="1:7" x14ac:dyDescent="0.3">
      <c r="A356">
        <v>1.7649999999999999</v>
      </c>
      <c r="B356">
        <v>0</v>
      </c>
      <c r="C356">
        <f t="shared" si="25"/>
        <v>-682.42105263157873</v>
      </c>
      <c r="D356">
        <f t="shared" si="26"/>
        <v>-4.9049999999999996E-2</v>
      </c>
      <c r="E356">
        <f t="shared" si="27"/>
        <v>-4.0680664437181751</v>
      </c>
      <c r="F356">
        <f t="shared" si="28"/>
        <v>-0.45775653617118228</v>
      </c>
      <c r="G356">
        <f t="shared" si="29"/>
        <v>0</v>
      </c>
    </row>
    <row r="357" spans="1:7" x14ac:dyDescent="0.3">
      <c r="A357">
        <v>1.77</v>
      </c>
      <c r="B357">
        <v>0</v>
      </c>
      <c r="C357">
        <f t="shared" si="25"/>
        <v>-682.42105263157873</v>
      </c>
      <c r="D357">
        <f t="shared" si="26"/>
        <v>-4.9049999999999996E-2</v>
      </c>
      <c r="E357">
        <f t="shared" si="27"/>
        <v>-4.1171164437181753</v>
      </c>
      <c r="F357">
        <f t="shared" si="28"/>
        <v>-0.47821949338977315</v>
      </c>
      <c r="G357">
        <f t="shared" si="29"/>
        <v>0</v>
      </c>
    </row>
    <row r="358" spans="1:7" x14ac:dyDescent="0.3">
      <c r="A358">
        <v>1.7749999999999999</v>
      </c>
      <c r="B358">
        <v>0</v>
      </c>
      <c r="C358">
        <f t="shared" si="25"/>
        <v>-682.42105263157873</v>
      </c>
      <c r="D358">
        <f t="shared" si="26"/>
        <v>-4.9049999999999996E-2</v>
      </c>
      <c r="E358">
        <f t="shared" si="27"/>
        <v>-4.1661664437181756</v>
      </c>
      <c r="F358">
        <f t="shared" si="28"/>
        <v>-0.498927700608364</v>
      </c>
      <c r="G358">
        <f t="shared" si="29"/>
        <v>0</v>
      </c>
    </row>
    <row r="359" spans="1:7" x14ac:dyDescent="0.3">
      <c r="A359">
        <v>1.78</v>
      </c>
      <c r="B359">
        <v>0</v>
      </c>
      <c r="C359">
        <f t="shared" si="25"/>
        <v>-682.42105263157873</v>
      </c>
      <c r="D359">
        <f t="shared" si="26"/>
        <v>-4.9049999999999996E-2</v>
      </c>
      <c r="E359">
        <f t="shared" si="27"/>
        <v>-4.2152164437181758</v>
      </c>
      <c r="F359">
        <f t="shared" si="28"/>
        <v>-0.51988115782695488</v>
      </c>
      <c r="G359">
        <f t="shared" si="29"/>
        <v>0</v>
      </c>
    </row>
    <row r="360" spans="1:7" x14ac:dyDescent="0.3">
      <c r="A360">
        <v>1.7849999999999999</v>
      </c>
      <c r="B360">
        <v>0</v>
      </c>
      <c r="C360">
        <f t="shared" si="25"/>
        <v>-682.42105263157873</v>
      </c>
      <c r="D360">
        <f t="shared" si="26"/>
        <v>-4.9049999999999996E-2</v>
      </c>
      <c r="E360">
        <f t="shared" si="27"/>
        <v>-4.2642664437181761</v>
      </c>
      <c r="F360">
        <f t="shared" si="28"/>
        <v>-0.54107986504554573</v>
      </c>
      <c r="G360">
        <f t="shared" si="29"/>
        <v>0</v>
      </c>
    </row>
    <row r="361" spans="1:7" x14ac:dyDescent="0.3">
      <c r="A361">
        <v>1.79</v>
      </c>
      <c r="B361">
        <v>0</v>
      </c>
      <c r="C361">
        <f t="shared" si="25"/>
        <v>-682.42105263157873</v>
      </c>
      <c r="D361">
        <f t="shared" si="26"/>
        <v>-4.9049999999999996E-2</v>
      </c>
      <c r="E361">
        <f t="shared" si="27"/>
        <v>-4.3133164437181764</v>
      </c>
      <c r="F361">
        <f t="shared" si="28"/>
        <v>-0.56252382226413666</v>
      </c>
      <c r="G361">
        <f t="shared" si="29"/>
        <v>0</v>
      </c>
    </row>
    <row r="362" spans="1:7" x14ac:dyDescent="0.3">
      <c r="A362">
        <v>1.7949999999999999</v>
      </c>
      <c r="B362">
        <v>0</v>
      </c>
      <c r="C362">
        <f t="shared" si="25"/>
        <v>-682.42105263157873</v>
      </c>
      <c r="D362">
        <f t="shared" si="26"/>
        <v>-4.9049999999999996E-2</v>
      </c>
      <c r="E362">
        <f t="shared" si="27"/>
        <v>-4.3623664437181766</v>
      </c>
      <c r="F362">
        <f t="shared" si="28"/>
        <v>-0.58421302948272757</v>
      </c>
      <c r="G362">
        <f t="shared" si="29"/>
        <v>0</v>
      </c>
    </row>
    <row r="363" spans="1:7" x14ac:dyDescent="0.3">
      <c r="A363">
        <v>1.8</v>
      </c>
      <c r="B363">
        <v>0</v>
      </c>
      <c r="C363">
        <f t="shared" si="25"/>
        <v>-682.42105263157873</v>
      </c>
      <c r="D363">
        <f t="shared" si="26"/>
        <v>-4.9049999999999996E-2</v>
      </c>
      <c r="E363">
        <f t="shared" si="27"/>
        <v>-4.4114164437181769</v>
      </c>
      <c r="F363">
        <f t="shared" si="28"/>
        <v>-0.60614748670131846</v>
      </c>
      <c r="G363">
        <f t="shared" si="29"/>
        <v>0</v>
      </c>
    </row>
    <row r="364" spans="1:7" x14ac:dyDescent="0.3">
      <c r="A364">
        <v>1.8049999999999999</v>
      </c>
      <c r="B364">
        <v>0</v>
      </c>
      <c r="C364">
        <f t="shared" si="25"/>
        <v>-682.42105263157873</v>
      </c>
      <c r="D364">
        <f t="shared" si="26"/>
        <v>-4.9049999999999996E-2</v>
      </c>
      <c r="E364">
        <f t="shared" si="27"/>
        <v>-4.4604664437181771</v>
      </c>
      <c r="F364">
        <f t="shared" si="28"/>
        <v>-0.62832719391990932</v>
      </c>
      <c r="G364">
        <f t="shared" si="29"/>
        <v>0</v>
      </c>
    </row>
    <row r="365" spans="1:7" x14ac:dyDescent="0.3">
      <c r="A365">
        <v>1.81</v>
      </c>
      <c r="B365">
        <v>0</v>
      </c>
      <c r="C365">
        <f t="shared" si="25"/>
        <v>-682.42105263157873</v>
      </c>
      <c r="D365">
        <f t="shared" si="26"/>
        <v>-4.9049999999999996E-2</v>
      </c>
      <c r="E365">
        <f t="shared" si="27"/>
        <v>-4.5095164437181774</v>
      </c>
      <c r="F365">
        <f t="shared" si="28"/>
        <v>-0.65075215113850016</v>
      </c>
      <c r="G365">
        <f t="shared" si="29"/>
        <v>0</v>
      </c>
    </row>
    <row r="366" spans="1:7" x14ac:dyDescent="0.3">
      <c r="A366">
        <v>1.8149999999999999</v>
      </c>
      <c r="B366">
        <v>0</v>
      </c>
      <c r="C366">
        <f t="shared" si="25"/>
        <v>-682.42105263157873</v>
      </c>
      <c r="D366">
        <f t="shared" si="26"/>
        <v>-4.9049999999999996E-2</v>
      </c>
      <c r="E366">
        <f t="shared" si="27"/>
        <v>-4.5585664437181777</v>
      </c>
      <c r="F366">
        <f t="shared" si="28"/>
        <v>-0.67342235835709108</v>
      </c>
      <c r="G366">
        <f t="shared" si="29"/>
        <v>0</v>
      </c>
    </row>
    <row r="367" spans="1:7" x14ac:dyDescent="0.3">
      <c r="A367">
        <v>1.82</v>
      </c>
      <c r="B367">
        <v>0</v>
      </c>
      <c r="C367">
        <f t="shared" si="25"/>
        <v>-682.42105263157873</v>
      </c>
      <c r="D367">
        <f t="shared" si="26"/>
        <v>-4.9049999999999996E-2</v>
      </c>
      <c r="E367">
        <f t="shared" si="27"/>
        <v>-4.6076164437181779</v>
      </c>
      <c r="F367">
        <f t="shared" si="28"/>
        <v>-0.69633781557568197</v>
      </c>
      <c r="G367">
        <f t="shared" si="29"/>
        <v>0</v>
      </c>
    </row>
    <row r="368" spans="1:7" x14ac:dyDescent="0.3">
      <c r="A368">
        <v>1.825</v>
      </c>
      <c r="B368">
        <v>0</v>
      </c>
      <c r="C368">
        <f t="shared" si="25"/>
        <v>-682.42105263157873</v>
      </c>
      <c r="D368">
        <f t="shared" si="26"/>
        <v>-4.9049999999999996E-2</v>
      </c>
      <c r="E368">
        <f t="shared" si="27"/>
        <v>-4.6566664437181782</v>
      </c>
      <c r="F368">
        <f t="shared" si="28"/>
        <v>-0.71949852279427284</v>
      </c>
      <c r="G368">
        <f t="shared" si="29"/>
        <v>0</v>
      </c>
    </row>
    <row r="369" spans="1:7" x14ac:dyDescent="0.3">
      <c r="A369">
        <v>1.83</v>
      </c>
      <c r="B369">
        <v>0</v>
      </c>
      <c r="C369">
        <f t="shared" si="25"/>
        <v>-682.42105263157873</v>
      </c>
      <c r="D369">
        <f t="shared" si="26"/>
        <v>-4.9049999999999996E-2</v>
      </c>
      <c r="E369">
        <f t="shared" si="27"/>
        <v>-4.7057164437181784</v>
      </c>
      <c r="F369">
        <f t="shared" si="28"/>
        <v>-0.74290448001286369</v>
      </c>
      <c r="G369">
        <f t="shared" si="29"/>
        <v>0</v>
      </c>
    </row>
    <row r="370" spans="1:7" x14ac:dyDescent="0.3">
      <c r="A370">
        <v>1.835</v>
      </c>
      <c r="B370">
        <v>0</v>
      </c>
      <c r="C370">
        <f t="shared" si="25"/>
        <v>-682.42105263157873</v>
      </c>
      <c r="D370">
        <f t="shared" si="26"/>
        <v>-4.9049999999999996E-2</v>
      </c>
      <c r="E370">
        <f t="shared" si="27"/>
        <v>-4.7547664437181787</v>
      </c>
      <c r="F370">
        <f t="shared" si="28"/>
        <v>-0.76655568723145462</v>
      </c>
      <c r="G370">
        <f t="shared" si="29"/>
        <v>0</v>
      </c>
    </row>
    <row r="371" spans="1:7" x14ac:dyDescent="0.3">
      <c r="A371">
        <v>1.84</v>
      </c>
      <c r="B371">
        <v>0</v>
      </c>
      <c r="C371">
        <f t="shared" si="25"/>
        <v>-682.42105263157873</v>
      </c>
      <c r="D371">
        <f t="shared" si="26"/>
        <v>-4.9049999999999996E-2</v>
      </c>
      <c r="E371">
        <f t="shared" si="27"/>
        <v>-4.803816443718179</v>
      </c>
      <c r="F371">
        <f t="shared" si="28"/>
        <v>-0.79045214445004552</v>
      </c>
      <c r="G371">
        <f t="shared" si="29"/>
        <v>0</v>
      </c>
    </row>
    <row r="372" spans="1:7" x14ac:dyDescent="0.3">
      <c r="A372">
        <v>1.845</v>
      </c>
      <c r="B372">
        <v>0</v>
      </c>
      <c r="C372">
        <f t="shared" si="25"/>
        <v>-682.42105263157873</v>
      </c>
      <c r="D372">
        <f t="shared" si="26"/>
        <v>-4.9049999999999996E-2</v>
      </c>
      <c r="E372">
        <f t="shared" si="27"/>
        <v>-4.8528664437181792</v>
      </c>
      <c r="F372">
        <f t="shared" si="28"/>
        <v>-0.8145938516686364</v>
      </c>
      <c r="G372">
        <f t="shared" si="29"/>
        <v>0</v>
      </c>
    </row>
    <row r="373" spans="1:7" x14ac:dyDescent="0.3">
      <c r="A373">
        <v>1.85</v>
      </c>
      <c r="B373">
        <v>0</v>
      </c>
      <c r="C373">
        <f t="shared" si="25"/>
        <v>-682.42105263157873</v>
      </c>
      <c r="D373">
        <f t="shared" si="26"/>
        <v>-4.9049999999999996E-2</v>
      </c>
      <c r="E373">
        <f t="shared" si="27"/>
        <v>-4.9019164437181795</v>
      </c>
      <c r="F373">
        <f t="shared" si="28"/>
        <v>-0.83898080888722726</v>
      </c>
      <c r="G373">
        <f t="shared" si="29"/>
        <v>0</v>
      </c>
    </row>
    <row r="374" spans="1:7" x14ac:dyDescent="0.3">
      <c r="A374">
        <v>1.855</v>
      </c>
      <c r="B374">
        <v>0</v>
      </c>
      <c r="C374">
        <f t="shared" si="25"/>
        <v>-682.42105263157873</v>
      </c>
      <c r="D374">
        <f t="shared" si="26"/>
        <v>-4.9049999999999996E-2</v>
      </c>
      <c r="E374">
        <f t="shared" si="27"/>
        <v>-4.9509664437181797</v>
      </c>
      <c r="F374">
        <f t="shared" si="28"/>
        <v>-0.8636130161058182</v>
      </c>
      <c r="G374">
        <f t="shared" si="29"/>
        <v>0</v>
      </c>
    </row>
    <row r="375" spans="1:7" x14ac:dyDescent="0.3">
      <c r="A375">
        <v>1.86</v>
      </c>
      <c r="B375">
        <v>0</v>
      </c>
      <c r="C375">
        <f t="shared" si="25"/>
        <v>-682.42105263157873</v>
      </c>
      <c r="D375">
        <f t="shared" si="26"/>
        <v>-4.9049999999999996E-2</v>
      </c>
      <c r="E375">
        <f t="shared" si="27"/>
        <v>-5.00001644371818</v>
      </c>
      <c r="F375">
        <f t="shared" si="28"/>
        <v>-0.88849047332440911</v>
      </c>
      <c r="G375">
        <f t="shared" si="29"/>
        <v>0</v>
      </c>
    </row>
    <row r="376" spans="1:7" x14ac:dyDescent="0.3">
      <c r="A376">
        <v>1.865</v>
      </c>
      <c r="B376">
        <v>0</v>
      </c>
      <c r="C376">
        <f t="shared" si="25"/>
        <v>-682.42105263157873</v>
      </c>
      <c r="D376">
        <f t="shared" si="26"/>
        <v>-4.9049999999999996E-2</v>
      </c>
      <c r="E376">
        <f t="shared" si="27"/>
        <v>-5.0490664437181803</v>
      </c>
      <c r="F376">
        <f t="shared" si="28"/>
        <v>-0.913613180543</v>
      </c>
      <c r="G376">
        <f t="shared" si="29"/>
        <v>0</v>
      </c>
    </row>
    <row r="377" spans="1:7" x14ac:dyDescent="0.3">
      <c r="A377">
        <v>1.87</v>
      </c>
      <c r="B377">
        <v>0</v>
      </c>
      <c r="C377">
        <f t="shared" si="25"/>
        <v>-682.42105263157873</v>
      </c>
      <c r="D377">
        <f t="shared" si="26"/>
        <v>-4.9049999999999996E-2</v>
      </c>
      <c r="E377">
        <f t="shared" si="27"/>
        <v>-5.0981164437181805</v>
      </c>
      <c r="F377">
        <f t="shared" si="28"/>
        <v>-0.93898113776159087</v>
      </c>
      <c r="G377">
        <f t="shared" si="29"/>
        <v>0</v>
      </c>
    </row>
    <row r="378" spans="1:7" x14ac:dyDescent="0.3">
      <c r="A378">
        <v>1.875</v>
      </c>
      <c r="B378">
        <v>0</v>
      </c>
      <c r="C378">
        <f t="shared" si="25"/>
        <v>-682.42105263157873</v>
      </c>
      <c r="D378">
        <f t="shared" si="26"/>
        <v>-4.9049999999999996E-2</v>
      </c>
      <c r="E378">
        <f t="shared" si="27"/>
        <v>-5.1471664437181808</v>
      </c>
      <c r="F378">
        <f t="shared" si="28"/>
        <v>-0.96459434498018182</v>
      </c>
      <c r="G378">
        <f t="shared" si="29"/>
        <v>0</v>
      </c>
    </row>
    <row r="379" spans="1:7" x14ac:dyDescent="0.3">
      <c r="A379">
        <v>1.88</v>
      </c>
      <c r="B379">
        <v>0</v>
      </c>
      <c r="C379">
        <f t="shared" si="25"/>
        <v>-682.42105263157873</v>
      </c>
      <c r="D379">
        <f t="shared" si="26"/>
        <v>-4.9049999999999996E-2</v>
      </c>
      <c r="E379">
        <f t="shared" si="27"/>
        <v>-5.196216443718181</v>
      </c>
      <c r="F379">
        <f t="shared" si="28"/>
        <v>-0.99045280219877274</v>
      </c>
      <c r="G379">
        <f t="shared" si="29"/>
        <v>0</v>
      </c>
    </row>
    <row r="380" spans="1:7" x14ac:dyDescent="0.3">
      <c r="A380">
        <v>1.885</v>
      </c>
      <c r="B380">
        <v>0</v>
      </c>
      <c r="C380">
        <f t="shared" si="25"/>
        <v>-682.42105263157873</v>
      </c>
      <c r="D380">
        <f t="shared" si="26"/>
        <v>-4.9049999999999996E-2</v>
      </c>
      <c r="E380">
        <f t="shared" si="27"/>
        <v>-5.2452664437181813</v>
      </c>
      <c r="F380">
        <f t="shared" si="28"/>
        <v>-1.0165565094173636</v>
      </c>
      <c r="G380">
        <f t="shared" si="29"/>
        <v>0</v>
      </c>
    </row>
    <row r="381" spans="1:7" x14ac:dyDescent="0.3">
      <c r="A381">
        <v>1.89</v>
      </c>
      <c r="B381">
        <v>0</v>
      </c>
      <c r="C381">
        <f t="shared" si="25"/>
        <v>-682.42105263157873</v>
      </c>
      <c r="D381">
        <f t="shared" si="26"/>
        <v>-4.9049999999999996E-2</v>
      </c>
      <c r="E381">
        <f t="shared" si="27"/>
        <v>-5.2943164437181816</v>
      </c>
      <c r="F381">
        <f t="shared" si="28"/>
        <v>-1.0429054666359545</v>
      </c>
      <c r="G381">
        <f t="shared" si="29"/>
        <v>0</v>
      </c>
    </row>
    <row r="382" spans="1:7" x14ac:dyDescent="0.3">
      <c r="A382">
        <v>1.895</v>
      </c>
      <c r="B382">
        <v>0</v>
      </c>
      <c r="C382">
        <f t="shared" si="25"/>
        <v>-682.42105263157873</v>
      </c>
      <c r="D382">
        <f t="shared" si="26"/>
        <v>-4.9049999999999996E-2</v>
      </c>
      <c r="E382">
        <f t="shared" si="27"/>
        <v>-5.3433664437181818</v>
      </c>
      <c r="F382">
        <f t="shared" si="28"/>
        <v>-1.0694996738545455</v>
      </c>
      <c r="G382">
        <f t="shared" si="29"/>
        <v>0</v>
      </c>
    </row>
    <row r="383" spans="1:7" x14ac:dyDescent="0.3">
      <c r="A383">
        <v>1.9</v>
      </c>
      <c r="B383">
        <v>0</v>
      </c>
      <c r="C383">
        <f t="shared" si="25"/>
        <v>-682.42105263157873</v>
      </c>
      <c r="D383">
        <f t="shared" si="26"/>
        <v>-4.9049999999999996E-2</v>
      </c>
      <c r="E383">
        <f t="shared" si="27"/>
        <v>-5.3924164437181821</v>
      </c>
      <c r="F383">
        <f t="shared" si="28"/>
        <v>-1.0963391310731363</v>
      </c>
      <c r="G383">
        <f t="shared" si="29"/>
        <v>0</v>
      </c>
    </row>
    <row r="384" spans="1:7" x14ac:dyDescent="0.3">
      <c r="A384">
        <v>1.905</v>
      </c>
      <c r="B384">
        <v>0</v>
      </c>
      <c r="C384">
        <f t="shared" si="25"/>
        <v>-682.42105263157873</v>
      </c>
      <c r="D384">
        <f t="shared" si="26"/>
        <v>-4.9049999999999996E-2</v>
      </c>
      <c r="E384">
        <f t="shared" si="27"/>
        <v>-5.4414664437181823</v>
      </c>
      <c r="F384">
        <f t="shared" si="28"/>
        <v>-1.1234238382917272</v>
      </c>
      <c r="G384">
        <f t="shared" si="29"/>
        <v>0</v>
      </c>
    </row>
    <row r="385" spans="1:7" x14ac:dyDescent="0.3">
      <c r="A385">
        <v>1.91</v>
      </c>
      <c r="B385">
        <v>0</v>
      </c>
      <c r="C385">
        <f t="shared" si="25"/>
        <v>-682.42105263157873</v>
      </c>
      <c r="D385">
        <f t="shared" si="26"/>
        <v>-4.9049999999999996E-2</v>
      </c>
      <c r="E385">
        <f t="shared" si="27"/>
        <v>-5.4905164437181826</v>
      </c>
      <c r="F385">
        <f t="shared" si="28"/>
        <v>-1.1507537955103182</v>
      </c>
      <c r="G385">
        <f t="shared" si="29"/>
        <v>0</v>
      </c>
    </row>
    <row r="386" spans="1:7" x14ac:dyDescent="0.3">
      <c r="A386">
        <v>1.915</v>
      </c>
      <c r="B386">
        <v>0</v>
      </c>
      <c r="C386">
        <f t="shared" si="25"/>
        <v>-682.42105263157873</v>
      </c>
      <c r="D386">
        <f t="shared" si="26"/>
        <v>-4.9049999999999996E-2</v>
      </c>
      <c r="E386">
        <f t="shared" si="27"/>
        <v>-5.5395664437181829</v>
      </c>
      <c r="F386">
        <f t="shared" si="28"/>
        <v>-1.1783290027289091</v>
      </c>
      <c r="G386">
        <f t="shared" si="29"/>
        <v>0</v>
      </c>
    </row>
    <row r="387" spans="1:7" x14ac:dyDescent="0.3">
      <c r="A387">
        <v>1.92</v>
      </c>
      <c r="B387">
        <v>0</v>
      </c>
      <c r="C387">
        <f t="shared" si="25"/>
        <v>-682.42105263157873</v>
      </c>
      <c r="D387">
        <f t="shared" si="26"/>
        <v>-4.9049999999999996E-2</v>
      </c>
      <c r="E387">
        <f t="shared" si="27"/>
        <v>-5.5886164437181831</v>
      </c>
      <c r="F387">
        <f t="shared" si="28"/>
        <v>-1.2061494599475</v>
      </c>
      <c r="G387">
        <f t="shared" si="29"/>
        <v>0</v>
      </c>
    </row>
    <row r="388" spans="1:7" x14ac:dyDescent="0.3">
      <c r="A388">
        <v>1.925</v>
      </c>
      <c r="B388">
        <v>0</v>
      </c>
      <c r="C388">
        <f t="shared" ref="C388:C451" si="30">B388+$C$1</f>
        <v>-682.42105263157873</v>
      </c>
      <c r="D388">
        <f t="shared" si="26"/>
        <v>-4.9049999999999996E-2</v>
      </c>
      <c r="E388">
        <f t="shared" si="27"/>
        <v>-5.6376664437181834</v>
      </c>
      <c r="F388">
        <f t="shared" si="28"/>
        <v>-1.2342151671660908</v>
      </c>
      <c r="G388">
        <f t="shared" si="29"/>
        <v>0</v>
      </c>
    </row>
    <row r="389" spans="1:7" x14ac:dyDescent="0.3">
      <c r="A389">
        <v>1.93</v>
      </c>
      <c r="B389">
        <v>0</v>
      </c>
      <c r="C389">
        <f t="shared" si="30"/>
        <v>-682.42105263157873</v>
      </c>
      <c r="D389">
        <f t="shared" ref="D389:D452" si="31">1/$E$1*(C388+C389)*0.005/2</f>
        <v>-4.9049999999999996E-2</v>
      </c>
      <c r="E389">
        <f t="shared" ref="E389:E452" si="32">E388+D389</f>
        <v>-5.6867164437181836</v>
      </c>
      <c r="F389">
        <f t="shared" ref="F389:F452" si="33">F388+(E388+E389)*0.005/2</f>
        <v>-1.2625261243846817</v>
      </c>
      <c r="G389">
        <f t="shared" ref="G389:G452" si="34">B389*E389</f>
        <v>0</v>
      </c>
    </row>
    <row r="390" spans="1:7" x14ac:dyDescent="0.3">
      <c r="A390">
        <v>1.9350000000000001</v>
      </c>
      <c r="B390">
        <v>0</v>
      </c>
      <c r="C390">
        <f t="shared" si="30"/>
        <v>-682.42105263157873</v>
      </c>
      <c r="D390">
        <f t="shared" si="31"/>
        <v>-4.9049999999999996E-2</v>
      </c>
      <c r="E390">
        <f t="shared" si="32"/>
        <v>-5.7357664437181839</v>
      </c>
      <c r="F390">
        <f t="shared" si="33"/>
        <v>-1.2910823316032727</v>
      </c>
      <c r="G390">
        <f t="shared" si="34"/>
        <v>0</v>
      </c>
    </row>
    <row r="391" spans="1:7" x14ac:dyDescent="0.3">
      <c r="A391">
        <v>1.94</v>
      </c>
      <c r="B391">
        <v>0</v>
      </c>
      <c r="C391">
        <f t="shared" si="30"/>
        <v>-682.42105263157873</v>
      </c>
      <c r="D391">
        <f t="shared" si="31"/>
        <v>-4.9049999999999996E-2</v>
      </c>
      <c r="E391">
        <f t="shared" si="32"/>
        <v>-5.7848164437181842</v>
      </c>
      <c r="F391">
        <f t="shared" si="33"/>
        <v>-1.3198837888218635</v>
      </c>
      <c r="G391">
        <f t="shared" si="34"/>
        <v>0</v>
      </c>
    </row>
    <row r="392" spans="1:7" x14ac:dyDescent="0.3">
      <c r="A392">
        <v>1.9450000000000001</v>
      </c>
      <c r="B392">
        <v>0</v>
      </c>
      <c r="C392">
        <f t="shared" si="30"/>
        <v>-682.42105263157873</v>
      </c>
      <c r="D392">
        <f t="shared" si="31"/>
        <v>-4.9049999999999996E-2</v>
      </c>
      <c r="E392">
        <f t="shared" si="32"/>
        <v>-5.8338664437181844</v>
      </c>
      <c r="F392">
        <f t="shared" si="33"/>
        <v>-1.3489304960404545</v>
      </c>
      <c r="G392">
        <f t="shared" si="34"/>
        <v>0</v>
      </c>
    </row>
    <row r="393" spans="1:7" x14ac:dyDescent="0.3">
      <c r="A393">
        <v>1.95</v>
      </c>
      <c r="B393">
        <v>0</v>
      </c>
      <c r="C393">
        <f t="shared" si="30"/>
        <v>-682.42105263157873</v>
      </c>
      <c r="D393">
        <f t="shared" si="31"/>
        <v>-4.9049999999999996E-2</v>
      </c>
      <c r="E393">
        <f t="shared" si="32"/>
        <v>-5.8829164437181847</v>
      </c>
      <c r="F393">
        <f t="shared" si="33"/>
        <v>-1.3782224532590455</v>
      </c>
      <c r="G393">
        <f t="shared" si="34"/>
        <v>0</v>
      </c>
    </row>
    <row r="394" spans="1:7" x14ac:dyDescent="0.3">
      <c r="A394">
        <v>1.9550000000000001</v>
      </c>
      <c r="B394">
        <v>0</v>
      </c>
      <c r="C394">
        <f t="shared" si="30"/>
        <v>-682.42105263157873</v>
      </c>
      <c r="D394">
        <f t="shared" si="31"/>
        <v>-4.9049999999999996E-2</v>
      </c>
      <c r="E394">
        <f t="shared" si="32"/>
        <v>-5.9319664437181849</v>
      </c>
      <c r="F394">
        <f t="shared" si="33"/>
        <v>-1.4077596604776363</v>
      </c>
      <c r="G394">
        <f t="shared" si="34"/>
        <v>0</v>
      </c>
    </row>
    <row r="395" spans="1:7" x14ac:dyDescent="0.3">
      <c r="A395">
        <v>1.96</v>
      </c>
      <c r="B395">
        <v>0</v>
      </c>
      <c r="C395">
        <f t="shared" si="30"/>
        <v>-682.42105263157873</v>
      </c>
      <c r="D395">
        <f t="shared" si="31"/>
        <v>-4.9049999999999996E-2</v>
      </c>
      <c r="E395">
        <f t="shared" si="32"/>
        <v>-5.9810164437181852</v>
      </c>
      <c r="F395">
        <f t="shared" si="33"/>
        <v>-1.4375421176962273</v>
      </c>
      <c r="G395">
        <f t="shared" si="34"/>
        <v>0</v>
      </c>
    </row>
    <row r="396" spans="1:7" x14ac:dyDescent="0.3">
      <c r="A396">
        <v>1.9650000000000001</v>
      </c>
      <c r="B396">
        <v>0</v>
      </c>
      <c r="C396">
        <f t="shared" si="30"/>
        <v>-682.42105263157873</v>
      </c>
      <c r="D396">
        <f t="shared" si="31"/>
        <v>-4.9049999999999996E-2</v>
      </c>
      <c r="E396">
        <f t="shared" si="32"/>
        <v>-6.0300664437181855</v>
      </c>
      <c r="F396">
        <f t="shared" si="33"/>
        <v>-1.4675698249148181</v>
      </c>
      <c r="G396">
        <f t="shared" si="34"/>
        <v>0</v>
      </c>
    </row>
    <row r="397" spans="1:7" x14ac:dyDescent="0.3">
      <c r="A397">
        <v>1.97</v>
      </c>
      <c r="B397">
        <v>0</v>
      </c>
      <c r="C397">
        <f t="shared" si="30"/>
        <v>-682.42105263157873</v>
      </c>
      <c r="D397">
        <f t="shared" si="31"/>
        <v>-4.9049999999999996E-2</v>
      </c>
      <c r="E397">
        <f t="shared" si="32"/>
        <v>-6.0791164437181857</v>
      </c>
      <c r="F397">
        <f t="shared" si="33"/>
        <v>-1.497842782133409</v>
      </c>
      <c r="G397">
        <f t="shared" si="34"/>
        <v>0</v>
      </c>
    </row>
    <row r="398" spans="1:7" x14ac:dyDescent="0.3">
      <c r="A398">
        <v>1.9750000000000001</v>
      </c>
      <c r="B398">
        <v>0</v>
      </c>
      <c r="C398">
        <f t="shared" si="30"/>
        <v>-682.42105263157873</v>
      </c>
      <c r="D398">
        <f t="shared" si="31"/>
        <v>-4.9049999999999996E-2</v>
      </c>
      <c r="E398">
        <f t="shared" si="32"/>
        <v>-6.128166443718186</v>
      </c>
      <c r="F398">
        <f t="shared" si="33"/>
        <v>-1.528360989352</v>
      </c>
      <c r="G398">
        <f t="shared" si="34"/>
        <v>0</v>
      </c>
    </row>
    <row r="399" spans="1:7" x14ac:dyDescent="0.3">
      <c r="A399">
        <v>1.98</v>
      </c>
      <c r="B399">
        <v>0</v>
      </c>
      <c r="C399">
        <f t="shared" si="30"/>
        <v>-682.42105263157873</v>
      </c>
      <c r="D399">
        <f t="shared" si="31"/>
        <v>-4.9049999999999996E-2</v>
      </c>
      <c r="E399">
        <f t="shared" si="32"/>
        <v>-6.1772164437181862</v>
      </c>
      <c r="F399">
        <f t="shared" si="33"/>
        <v>-1.5591244465705909</v>
      </c>
      <c r="G399">
        <f t="shared" si="34"/>
        <v>0</v>
      </c>
    </row>
    <row r="400" spans="1:7" x14ac:dyDescent="0.3">
      <c r="A400">
        <v>1.9850000000000001</v>
      </c>
      <c r="B400">
        <v>0</v>
      </c>
      <c r="C400">
        <f t="shared" si="30"/>
        <v>-682.42105263157873</v>
      </c>
      <c r="D400">
        <f t="shared" si="31"/>
        <v>-4.9049999999999996E-2</v>
      </c>
      <c r="E400">
        <f t="shared" si="32"/>
        <v>-6.2262664437181865</v>
      </c>
      <c r="F400">
        <f t="shared" si="33"/>
        <v>-1.5901331537891819</v>
      </c>
      <c r="G400">
        <f t="shared" si="34"/>
        <v>0</v>
      </c>
    </row>
    <row r="401" spans="1:7" x14ac:dyDescent="0.3">
      <c r="A401">
        <v>1.99</v>
      </c>
      <c r="B401">
        <v>0</v>
      </c>
      <c r="C401">
        <f t="shared" si="30"/>
        <v>-682.42105263157873</v>
      </c>
      <c r="D401">
        <f t="shared" si="31"/>
        <v>-4.9049999999999996E-2</v>
      </c>
      <c r="E401">
        <f t="shared" si="32"/>
        <v>-6.2753164437181868</v>
      </c>
      <c r="F401">
        <f t="shared" si="33"/>
        <v>-1.6213871110077729</v>
      </c>
      <c r="G401">
        <f t="shared" si="34"/>
        <v>0</v>
      </c>
    </row>
    <row r="402" spans="1:7" x14ac:dyDescent="0.3">
      <c r="A402">
        <v>1.9950000000000001</v>
      </c>
      <c r="B402">
        <v>0</v>
      </c>
      <c r="C402">
        <f t="shared" si="30"/>
        <v>-682.42105263157873</v>
      </c>
      <c r="D402">
        <f t="shared" si="31"/>
        <v>-4.9049999999999996E-2</v>
      </c>
      <c r="E402">
        <f t="shared" si="32"/>
        <v>-6.324366443718187</v>
      </c>
      <c r="F402">
        <f t="shared" si="33"/>
        <v>-1.6528863182263638</v>
      </c>
      <c r="G402">
        <f t="shared" si="34"/>
        <v>0</v>
      </c>
    </row>
    <row r="403" spans="1:7" x14ac:dyDescent="0.3">
      <c r="A403">
        <v>2</v>
      </c>
      <c r="B403">
        <v>0</v>
      </c>
      <c r="C403">
        <f t="shared" si="30"/>
        <v>-682.42105263157873</v>
      </c>
      <c r="D403">
        <f t="shared" si="31"/>
        <v>-4.9049999999999996E-2</v>
      </c>
      <c r="E403">
        <f t="shared" si="32"/>
        <v>-6.3734164437181873</v>
      </c>
      <c r="F403">
        <f t="shared" si="33"/>
        <v>-1.6846307754449548</v>
      </c>
      <c r="G403">
        <f t="shared" si="34"/>
        <v>0</v>
      </c>
    </row>
    <row r="404" spans="1:7" x14ac:dyDescent="0.3">
      <c r="A404">
        <v>2.0049999999999999</v>
      </c>
      <c r="B404">
        <v>0</v>
      </c>
      <c r="C404">
        <f t="shared" si="30"/>
        <v>-682.42105263157873</v>
      </c>
      <c r="D404">
        <f t="shared" si="31"/>
        <v>-4.9049999999999996E-2</v>
      </c>
      <c r="E404">
        <f t="shared" si="32"/>
        <v>-6.4224664437181875</v>
      </c>
      <c r="F404">
        <f t="shared" si="33"/>
        <v>-1.7166204826635456</v>
      </c>
      <c r="G404">
        <f t="shared" si="34"/>
        <v>0</v>
      </c>
    </row>
    <row r="405" spans="1:7" x14ac:dyDescent="0.3">
      <c r="A405">
        <v>2.0099999999999998</v>
      </c>
      <c r="B405">
        <v>0</v>
      </c>
      <c r="C405">
        <f t="shared" si="30"/>
        <v>-682.42105263157873</v>
      </c>
      <c r="D405">
        <f t="shared" si="31"/>
        <v>-4.9049999999999996E-2</v>
      </c>
      <c r="E405">
        <f t="shared" si="32"/>
        <v>-6.4715164437181878</v>
      </c>
      <c r="F405">
        <f t="shared" si="33"/>
        <v>-1.7488554398821365</v>
      </c>
      <c r="G405">
        <f t="shared" si="34"/>
        <v>0</v>
      </c>
    </row>
    <row r="406" spans="1:7" x14ac:dyDescent="0.3">
      <c r="A406">
        <v>2.0150000000000001</v>
      </c>
      <c r="B406">
        <v>0</v>
      </c>
      <c r="C406">
        <f t="shared" si="30"/>
        <v>-682.42105263157873</v>
      </c>
      <c r="D406">
        <f t="shared" si="31"/>
        <v>-4.9049999999999996E-2</v>
      </c>
      <c r="E406">
        <f t="shared" si="32"/>
        <v>-6.5205664437181881</v>
      </c>
      <c r="F406">
        <f t="shared" si="33"/>
        <v>-1.7813356471007276</v>
      </c>
      <c r="G406">
        <f t="shared" si="34"/>
        <v>0</v>
      </c>
    </row>
    <row r="407" spans="1:7" x14ac:dyDescent="0.3">
      <c r="A407">
        <v>2.02</v>
      </c>
      <c r="B407">
        <v>0</v>
      </c>
      <c r="C407">
        <f t="shared" si="30"/>
        <v>-682.42105263157873</v>
      </c>
      <c r="D407">
        <f t="shared" si="31"/>
        <v>-4.9049999999999996E-2</v>
      </c>
      <c r="E407">
        <f t="shared" si="32"/>
        <v>-6.5696164437181883</v>
      </c>
      <c r="F407">
        <f t="shared" si="33"/>
        <v>-1.8140611043193184</v>
      </c>
      <c r="G407">
        <f t="shared" si="34"/>
        <v>0</v>
      </c>
    </row>
    <row r="408" spans="1:7" x14ac:dyDescent="0.3">
      <c r="A408">
        <v>2.0249999999999999</v>
      </c>
      <c r="B408">
        <v>0</v>
      </c>
      <c r="C408">
        <f t="shared" si="30"/>
        <v>-682.42105263157873</v>
      </c>
      <c r="D408">
        <f t="shared" si="31"/>
        <v>-4.9049999999999996E-2</v>
      </c>
      <c r="E408">
        <f t="shared" si="32"/>
        <v>-6.6186664437181886</v>
      </c>
      <c r="F408">
        <f t="shared" si="33"/>
        <v>-1.8470318115379094</v>
      </c>
      <c r="G408">
        <f t="shared" si="34"/>
        <v>0</v>
      </c>
    </row>
    <row r="409" spans="1:7" x14ac:dyDescent="0.3">
      <c r="A409">
        <v>2.0299999999999998</v>
      </c>
      <c r="B409">
        <v>0</v>
      </c>
      <c r="C409">
        <f t="shared" si="30"/>
        <v>-682.42105263157873</v>
      </c>
      <c r="D409">
        <f t="shared" si="31"/>
        <v>-4.9049999999999996E-2</v>
      </c>
      <c r="E409">
        <f t="shared" si="32"/>
        <v>-6.6677164437181888</v>
      </c>
      <c r="F409">
        <f t="shared" si="33"/>
        <v>-1.8802477687565005</v>
      </c>
      <c r="G409">
        <f t="shared" si="34"/>
        <v>0</v>
      </c>
    </row>
    <row r="410" spans="1:7" x14ac:dyDescent="0.3">
      <c r="A410">
        <v>2.0350000000000001</v>
      </c>
      <c r="B410">
        <v>0</v>
      </c>
      <c r="C410">
        <f t="shared" si="30"/>
        <v>-682.42105263157873</v>
      </c>
      <c r="D410">
        <f t="shared" si="31"/>
        <v>-4.9049999999999996E-2</v>
      </c>
      <c r="E410">
        <f t="shared" si="32"/>
        <v>-6.7167664437181891</v>
      </c>
      <c r="F410">
        <f t="shared" si="33"/>
        <v>-1.9137089759750914</v>
      </c>
      <c r="G410">
        <f t="shared" si="34"/>
        <v>0</v>
      </c>
    </row>
    <row r="411" spans="1:7" x14ac:dyDescent="0.3">
      <c r="A411">
        <v>2.04</v>
      </c>
      <c r="B411">
        <v>0</v>
      </c>
      <c r="C411">
        <f t="shared" si="30"/>
        <v>-682.42105263157873</v>
      </c>
      <c r="D411">
        <f t="shared" si="31"/>
        <v>-4.9049999999999996E-2</v>
      </c>
      <c r="E411">
        <f t="shared" si="32"/>
        <v>-6.7658164437181894</v>
      </c>
      <c r="F411">
        <f t="shared" si="33"/>
        <v>-1.9474154331936824</v>
      </c>
      <c r="G411">
        <f t="shared" si="34"/>
        <v>0</v>
      </c>
    </row>
    <row r="412" spans="1:7" x14ac:dyDescent="0.3">
      <c r="A412">
        <v>2.0449999999999999</v>
      </c>
      <c r="B412">
        <v>0</v>
      </c>
      <c r="C412">
        <f t="shared" si="30"/>
        <v>-682.42105263157873</v>
      </c>
      <c r="D412">
        <f t="shared" si="31"/>
        <v>-4.9049999999999996E-2</v>
      </c>
      <c r="E412">
        <f t="shared" si="32"/>
        <v>-6.8148664437181896</v>
      </c>
      <c r="F412">
        <f t="shared" si="33"/>
        <v>-1.9813671404122732</v>
      </c>
      <c r="G412">
        <f t="shared" si="34"/>
        <v>0</v>
      </c>
    </row>
    <row r="413" spans="1:7" x14ac:dyDescent="0.3">
      <c r="A413">
        <v>2.0499999999999998</v>
      </c>
      <c r="B413">
        <v>0</v>
      </c>
      <c r="C413">
        <f t="shared" si="30"/>
        <v>-682.42105263157873</v>
      </c>
      <c r="D413">
        <f t="shared" si="31"/>
        <v>-4.9049999999999996E-2</v>
      </c>
      <c r="E413">
        <f t="shared" si="32"/>
        <v>-6.8639164437181899</v>
      </c>
      <c r="F413">
        <f t="shared" si="33"/>
        <v>-2.0155640976308642</v>
      </c>
      <c r="G413">
        <f t="shared" si="34"/>
        <v>0</v>
      </c>
    </row>
    <row r="414" spans="1:7" x14ac:dyDescent="0.3">
      <c r="A414">
        <v>2.0550000000000002</v>
      </c>
      <c r="B414">
        <v>0</v>
      </c>
      <c r="C414">
        <f t="shared" si="30"/>
        <v>-682.42105263157873</v>
      </c>
      <c r="D414">
        <f t="shared" si="31"/>
        <v>-4.9049999999999996E-2</v>
      </c>
      <c r="E414">
        <f t="shared" si="32"/>
        <v>-6.9129664437181901</v>
      </c>
      <c r="F414">
        <f t="shared" si="33"/>
        <v>-2.0500063048494552</v>
      </c>
      <c r="G414">
        <f t="shared" si="34"/>
        <v>0</v>
      </c>
    </row>
    <row r="415" spans="1:7" x14ac:dyDescent="0.3">
      <c r="A415">
        <v>2.06</v>
      </c>
      <c r="B415">
        <v>0</v>
      </c>
      <c r="C415">
        <f t="shared" si="30"/>
        <v>-682.42105263157873</v>
      </c>
      <c r="D415">
        <f t="shared" si="31"/>
        <v>-4.9049999999999996E-2</v>
      </c>
      <c r="E415">
        <f t="shared" si="32"/>
        <v>-6.9620164437181904</v>
      </c>
      <c r="F415">
        <f t="shared" si="33"/>
        <v>-2.0846937620680461</v>
      </c>
      <c r="G415">
        <f t="shared" si="34"/>
        <v>0</v>
      </c>
    </row>
    <row r="416" spans="1:7" x14ac:dyDescent="0.3">
      <c r="A416">
        <v>2.0649999999999999</v>
      </c>
      <c r="B416">
        <v>0</v>
      </c>
      <c r="C416">
        <f t="shared" si="30"/>
        <v>-682.42105263157873</v>
      </c>
      <c r="D416">
        <f t="shared" si="31"/>
        <v>-4.9049999999999996E-2</v>
      </c>
      <c r="E416">
        <f t="shared" si="32"/>
        <v>-7.0110664437181907</v>
      </c>
      <c r="F416">
        <f t="shared" si="33"/>
        <v>-2.1196264692866369</v>
      </c>
      <c r="G416">
        <f t="shared" si="34"/>
        <v>0</v>
      </c>
    </row>
    <row r="417" spans="1:7" x14ac:dyDescent="0.3">
      <c r="A417">
        <v>2.0699999999999998</v>
      </c>
      <c r="B417">
        <v>0</v>
      </c>
      <c r="C417">
        <f t="shared" si="30"/>
        <v>-682.42105263157873</v>
      </c>
      <c r="D417">
        <f t="shared" si="31"/>
        <v>-4.9049999999999996E-2</v>
      </c>
      <c r="E417">
        <f t="shared" si="32"/>
        <v>-7.0601164437181909</v>
      </c>
      <c r="F417">
        <f t="shared" si="33"/>
        <v>-2.154804426505228</v>
      </c>
      <c r="G417">
        <f t="shared" si="34"/>
        <v>0</v>
      </c>
    </row>
    <row r="418" spans="1:7" x14ac:dyDescent="0.3">
      <c r="A418">
        <v>2.0750000000000002</v>
      </c>
      <c r="B418">
        <v>0</v>
      </c>
      <c r="C418">
        <f t="shared" si="30"/>
        <v>-682.42105263157873</v>
      </c>
      <c r="D418">
        <f t="shared" si="31"/>
        <v>-4.9049999999999996E-2</v>
      </c>
      <c r="E418">
        <f t="shared" si="32"/>
        <v>-7.1091664437181912</v>
      </c>
      <c r="F418">
        <f t="shared" si="33"/>
        <v>-2.1902276337238189</v>
      </c>
      <c r="G418">
        <f t="shared" si="34"/>
        <v>0</v>
      </c>
    </row>
    <row r="419" spans="1:7" x14ac:dyDescent="0.3">
      <c r="A419">
        <v>2.08</v>
      </c>
      <c r="B419">
        <v>0</v>
      </c>
      <c r="C419">
        <f t="shared" si="30"/>
        <v>-682.42105263157873</v>
      </c>
      <c r="D419">
        <f t="shared" si="31"/>
        <v>-4.9049999999999996E-2</v>
      </c>
      <c r="E419">
        <f t="shared" si="32"/>
        <v>-7.1582164437181914</v>
      </c>
      <c r="F419">
        <f t="shared" si="33"/>
        <v>-2.2258960909424097</v>
      </c>
      <c r="G419">
        <f t="shared" si="34"/>
        <v>0</v>
      </c>
    </row>
    <row r="420" spans="1:7" x14ac:dyDescent="0.3">
      <c r="A420">
        <v>2.085</v>
      </c>
      <c r="B420">
        <v>0</v>
      </c>
      <c r="C420">
        <f t="shared" si="30"/>
        <v>-682.42105263157873</v>
      </c>
      <c r="D420">
        <f t="shared" si="31"/>
        <v>-4.9049999999999996E-2</v>
      </c>
      <c r="E420">
        <f t="shared" si="32"/>
        <v>-7.2072664437181917</v>
      </c>
      <c r="F420">
        <f t="shared" si="33"/>
        <v>-2.2618097981610008</v>
      </c>
      <c r="G420">
        <f t="shared" si="34"/>
        <v>0</v>
      </c>
    </row>
    <row r="421" spans="1:7" x14ac:dyDescent="0.3">
      <c r="A421">
        <v>2.09</v>
      </c>
      <c r="B421">
        <v>0</v>
      </c>
      <c r="C421">
        <f t="shared" si="30"/>
        <v>-682.42105263157873</v>
      </c>
      <c r="D421">
        <f t="shared" si="31"/>
        <v>-4.9049999999999996E-2</v>
      </c>
      <c r="E421">
        <f t="shared" si="32"/>
        <v>-7.256316443718192</v>
      </c>
      <c r="F421">
        <f t="shared" si="33"/>
        <v>-2.2979687553795918</v>
      </c>
      <c r="G421">
        <f t="shared" si="34"/>
        <v>0</v>
      </c>
    </row>
    <row r="422" spans="1:7" x14ac:dyDescent="0.3">
      <c r="A422">
        <v>2.0950000000000002</v>
      </c>
      <c r="B422">
        <v>0</v>
      </c>
      <c r="C422">
        <f t="shared" si="30"/>
        <v>-682.42105263157873</v>
      </c>
      <c r="D422">
        <f t="shared" si="31"/>
        <v>-4.9049999999999996E-2</v>
      </c>
      <c r="E422">
        <f t="shared" si="32"/>
        <v>-7.3053664437181922</v>
      </c>
      <c r="F422">
        <f t="shared" si="33"/>
        <v>-2.3343729625981826</v>
      </c>
      <c r="G422">
        <f t="shared" si="34"/>
        <v>0</v>
      </c>
    </row>
    <row r="423" spans="1:7" x14ac:dyDescent="0.3">
      <c r="A423">
        <v>2.1</v>
      </c>
      <c r="B423">
        <v>0</v>
      </c>
      <c r="C423">
        <f t="shared" si="30"/>
        <v>-682.42105263157873</v>
      </c>
      <c r="D423">
        <f t="shared" si="31"/>
        <v>-4.9049999999999996E-2</v>
      </c>
      <c r="E423">
        <f t="shared" si="32"/>
        <v>-7.3544164437181925</v>
      </c>
      <c r="F423">
        <f t="shared" si="33"/>
        <v>-2.3710224198167738</v>
      </c>
      <c r="G423">
        <f t="shared" si="34"/>
        <v>0</v>
      </c>
    </row>
    <row r="424" spans="1:7" x14ac:dyDescent="0.3">
      <c r="A424">
        <v>2.105</v>
      </c>
      <c r="B424">
        <v>0</v>
      </c>
      <c r="C424">
        <f t="shared" si="30"/>
        <v>-682.42105263157873</v>
      </c>
      <c r="D424">
        <f t="shared" si="31"/>
        <v>-4.9049999999999996E-2</v>
      </c>
      <c r="E424">
        <f t="shared" si="32"/>
        <v>-7.4034664437181927</v>
      </c>
      <c r="F424">
        <f t="shared" si="33"/>
        <v>-2.4079171270353648</v>
      </c>
      <c r="G424">
        <f t="shared" si="34"/>
        <v>0</v>
      </c>
    </row>
    <row r="425" spans="1:7" x14ac:dyDescent="0.3">
      <c r="A425">
        <v>2.11</v>
      </c>
      <c r="B425">
        <v>0</v>
      </c>
      <c r="C425">
        <f t="shared" si="30"/>
        <v>-682.42105263157873</v>
      </c>
      <c r="D425">
        <f t="shared" si="31"/>
        <v>-4.9049999999999996E-2</v>
      </c>
      <c r="E425">
        <f t="shared" si="32"/>
        <v>-7.452516443718193</v>
      </c>
      <c r="F425">
        <f t="shared" si="33"/>
        <v>-2.4450570842539556</v>
      </c>
      <c r="G425">
        <f t="shared" si="34"/>
        <v>0</v>
      </c>
    </row>
    <row r="426" spans="1:7" x14ac:dyDescent="0.3">
      <c r="A426">
        <v>2.1150000000000002</v>
      </c>
      <c r="B426">
        <v>0</v>
      </c>
      <c r="C426">
        <f t="shared" si="30"/>
        <v>-682.42105263157873</v>
      </c>
      <c r="D426">
        <f t="shared" si="31"/>
        <v>-4.9049999999999996E-2</v>
      </c>
      <c r="E426">
        <f t="shared" si="32"/>
        <v>-7.5015664437181933</v>
      </c>
      <c r="F426">
        <f t="shared" si="33"/>
        <v>-2.4824422914725468</v>
      </c>
      <c r="G426">
        <f t="shared" si="34"/>
        <v>0</v>
      </c>
    </row>
    <row r="427" spans="1:7" x14ac:dyDescent="0.3">
      <c r="A427">
        <v>2.12</v>
      </c>
      <c r="B427">
        <v>0</v>
      </c>
      <c r="C427">
        <f t="shared" si="30"/>
        <v>-682.42105263157873</v>
      </c>
      <c r="D427">
        <f t="shared" si="31"/>
        <v>-4.9049999999999996E-2</v>
      </c>
      <c r="E427">
        <f t="shared" si="32"/>
        <v>-7.5506164437181935</v>
      </c>
      <c r="F427">
        <f t="shared" si="33"/>
        <v>-2.5200727486911378</v>
      </c>
      <c r="G427">
        <f t="shared" si="34"/>
        <v>0</v>
      </c>
    </row>
    <row r="428" spans="1:7" x14ac:dyDescent="0.3">
      <c r="A428">
        <v>2.125</v>
      </c>
      <c r="B428">
        <v>0</v>
      </c>
      <c r="C428">
        <f t="shared" si="30"/>
        <v>-682.42105263157873</v>
      </c>
      <c r="D428">
        <f t="shared" si="31"/>
        <v>-4.9049999999999996E-2</v>
      </c>
      <c r="E428">
        <f t="shared" si="32"/>
        <v>-7.5996664437181938</v>
      </c>
      <c r="F428">
        <f t="shared" si="33"/>
        <v>-2.5579484559097287</v>
      </c>
      <c r="G428">
        <f t="shared" si="34"/>
        <v>0</v>
      </c>
    </row>
    <row r="429" spans="1:7" x14ac:dyDescent="0.3">
      <c r="A429">
        <v>2.13</v>
      </c>
      <c r="B429">
        <v>0</v>
      </c>
      <c r="C429">
        <f t="shared" si="30"/>
        <v>-682.42105263157873</v>
      </c>
      <c r="D429">
        <f t="shared" si="31"/>
        <v>-4.9049999999999996E-2</v>
      </c>
      <c r="E429">
        <f t="shared" si="32"/>
        <v>-7.648716443718194</v>
      </c>
      <c r="F429">
        <f t="shared" si="33"/>
        <v>-2.5960694131283195</v>
      </c>
      <c r="G429">
        <f t="shared" si="34"/>
        <v>0</v>
      </c>
    </row>
    <row r="430" spans="1:7" x14ac:dyDescent="0.3">
      <c r="A430">
        <v>2.13499999999999</v>
      </c>
      <c r="B430">
        <v>0</v>
      </c>
      <c r="C430">
        <f t="shared" si="30"/>
        <v>-682.42105263157873</v>
      </c>
      <c r="D430">
        <f t="shared" si="31"/>
        <v>-4.9049999999999996E-2</v>
      </c>
      <c r="E430">
        <f t="shared" si="32"/>
        <v>-7.6977664437181943</v>
      </c>
      <c r="F430">
        <f t="shared" si="33"/>
        <v>-2.6344356203469106</v>
      </c>
      <c r="G430">
        <f t="shared" si="34"/>
        <v>0</v>
      </c>
    </row>
    <row r="431" spans="1:7" x14ac:dyDescent="0.3">
      <c r="A431">
        <v>2.14</v>
      </c>
      <c r="B431">
        <v>0</v>
      </c>
      <c r="C431">
        <f t="shared" si="30"/>
        <v>-682.42105263157873</v>
      </c>
      <c r="D431">
        <f t="shared" si="31"/>
        <v>-4.9049999999999996E-2</v>
      </c>
      <c r="E431">
        <f t="shared" si="32"/>
        <v>-7.7468164437181946</v>
      </c>
      <c r="F431">
        <f t="shared" si="33"/>
        <v>-2.6730470775655015</v>
      </c>
      <c r="G431">
        <f t="shared" si="34"/>
        <v>0</v>
      </c>
    </row>
    <row r="432" spans="1:7" x14ac:dyDescent="0.3">
      <c r="A432">
        <v>2.145</v>
      </c>
      <c r="B432">
        <v>0</v>
      </c>
      <c r="C432">
        <f t="shared" si="30"/>
        <v>-682.42105263157873</v>
      </c>
      <c r="D432">
        <f t="shared" si="31"/>
        <v>-4.9049999999999996E-2</v>
      </c>
      <c r="E432">
        <f t="shared" si="32"/>
        <v>-7.7958664437181948</v>
      </c>
      <c r="F432">
        <f t="shared" si="33"/>
        <v>-2.7119037847840923</v>
      </c>
      <c r="G432">
        <f t="shared" si="34"/>
        <v>0</v>
      </c>
    </row>
    <row r="433" spans="1:7" x14ac:dyDescent="0.3">
      <c r="A433">
        <v>2.15</v>
      </c>
      <c r="B433">
        <v>0</v>
      </c>
      <c r="C433">
        <f t="shared" si="30"/>
        <v>-682.42105263157873</v>
      </c>
      <c r="D433">
        <f t="shared" si="31"/>
        <v>-4.9049999999999996E-2</v>
      </c>
      <c r="E433">
        <f t="shared" si="32"/>
        <v>-7.8449164437181951</v>
      </c>
      <c r="F433">
        <f t="shared" si="33"/>
        <v>-2.7510057420026834</v>
      </c>
      <c r="G433">
        <f t="shared" si="34"/>
        <v>0</v>
      </c>
    </row>
    <row r="434" spans="1:7" x14ac:dyDescent="0.3">
      <c r="A434">
        <v>2.15499999999999</v>
      </c>
      <c r="B434">
        <v>0</v>
      </c>
      <c r="C434">
        <f t="shared" si="30"/>
        <v>-682.42105263157873</v>
      </c>
      <c r="D434">
        <f t="shared" si="31"/>
        <v>-4.9049999999999996E-2</v>
      </c>
      <c r="E434">
        <f t="shared" si="32"/>
        <v>-7.8939664437181953</v>
      </c>
      <c r="F434">
        <f t="shared" si="33"/>
        <v>-2.7903529492212744</v>
      </c>
      <c r="G434">
        <f t="shared" si="34"/>
        <v>0</v>
      </c>
    </row>
    <row r="435" spans="1:7" x14ac:dyDescent="0.3">
      <c r="A435">
        <v>2.1599999999999899</v>
      </c>
      <c r="B435">
        <v>0</v>
      </c>
      <c r="C435">
        <f t="shared" si="30"/>
        <v>-682.42105263157873</v>
      </c>
      <c r="D435">
        <f t="shared" si="31"/>
        <v>-4.9049999999999996E-2</v>
      </c>
      <c r="E435">
        <f t="shared" si="32"/>
        <v>-7.9430164437181956</v>
      </c>
      <c r="F435">
        <f t="shared" si="33"/>
        <v>-2.8299454064398653</v>
      </c>
      <c r="G435">
        <f t="shared" si="34"/>
        <v>0</v>
      </c>
    </row>
    <row r="436" spans="1:7" x14ac:dyDescent="0.3">
      <c r="A436">
        <v>2.1649999999999898</v>
      </c>
      <c r="B436">
        <v>0</v>
      </c>
      <c r="C436">
        <f t="shared" si="30"/>
        <v>-682.42105263157873</v>
      </c>
      <c r="D436">
        <f t="shared" si="31"/>
        <v>-4.9049999999999996E-2</v>
      </c>
      <c r="E436">
        <f t="shared" si="32"/>
        <v>-7.9920664437181959</v>
      </c>
      <c r="F436">
        <f t="shared" si="33"/>
        <v>-2.8697831136584564</v>
      </c>
      <c r="G436">
        <f t="shared" si="34"/>
        <v>0</v>
      </c>
    </row>
    <row r="437" spans="1:7" x14ac:dyDescent="0.3">
      <c r="A437">
        <v>2.1699999999999902</v>
      </c>
      <c r="B437">
        <v>0</v>
      </c>
      <c r="C437">
        <f t="shared" si="30"/>
        <v>-682.42105263157873</v>
      </c>
      <c r="D437">
        <f t="shared" si="31"/>
        <v>-4.9049999999999996E-2</v>
      </c>
      <c r="E437">
        <f t="shared" si="32"/>
        <v>-8.0411164437181952</v>
      </c>
      <c r="F437">
        <f t="shared" si="33"/>
        <v>-2.9098660708770474</v>
      </c>
      <c r="G437">
        <f t="shared" si="34"/>
        <v>0</v>
      </c>
    </row>
    <row r="438" spans="1:7" x14ac:dyDescent="0.3">
      <c r="A438">
        <v>2.1749999999999901</v>
      </c>
      <c r="B438">
        <v>0</v>
      </c>
      <c r="C438">
        <f t="shared" si="30"/>
        <v>-682.42105263157873</v>
      </c>
      <c r="D438">
        <f t="shared" si="31"/>
        <v>-4.9049999999999996E-2</v>
      </c>
      <c r="E438">
        <f t="shared" si="32"/>
        <v>-8.0901664437181946</v>
      </c>
      <c r="F438">
        <f t="shared" si="33"/>
        <v>-2.9501942780956383</v>
      </c>
      <c r="G438">
        <f t="shared" si="34"/>
        <v>0</v>
      </c>
    </row>
    <row r="439" spans="1:7" x14ac:dyDescent="0.3">
      <c r="A439">
        <v>2.1799999999999899</v>
      </c>
      <c r="B439">
        <v>0</v>
      </c>
      <c r="C439">
        <f t="shared" si="30"/>
        <v>-682.42105263157873</v>
      </c>
      <c r="D439">
        <f t="shared" si="31"/>
        <v>-4.9049999999999996E-2</v>
      </c>
      <c r="E439">
        <f t="shared" si="32"/>
        <v>-8.139216443718194</v>
      </c>
      <c r="F439">
        <f t="shared" si="33"/>
        <v>-2.9907677353142295</v>
      </c>
      <c r="G439">
        <f t="shared" si="34"/>
        <v>0</v>
      </c>
    </row>
    <row r="440" spans="1:7" x14ac:dyDescent="0.3">
      <c r="A440">
        <v>2.1849999999999898</v>
      </c>
      <c r="B440">
        <v>0</v>
      </c>
      <c r="C440">
        <f t="shared" si="30"/>
        <v>-682.42105263157873</v>
      </c>
      <c r="D440">
        <f t="shared" si="31"/>
        <v>-4.9049999999999996E-2</v>
      </c>
      <c r="E440">
        <f t="shared" si="32"/>
        <v>-8.1882664437181933</v>
      </c>
      <c r="F440">
        <f t="shared" si="33"/>
        <v>-3.0315864425328205</v>
      </c>
      <c r="G440">
        <f t="shared" si="34"/>
        <v>0</v>
      </c>
    </row>
    <row r="441" spans="1:7" x14ac:dyDescent="0.3">
      <c r="A441">
        <v>2.1899999999999902</v>
      </c>
      <c r="B441">
        <v>0</v>
      </c>
      <c r="C441">
        <f t="shared" si="30"/>
        <v>-682.42105263157873</v>
      </c>
      <c r="D441">
        <f t="shared" si="31"/>
        <v>-4.9049999999999996E-2</v>
      </c>
      <c r="E441">
        <f t="shared" si="32"/>
        <v>-8.2373164437181927</v>
      </c>
      <c r="F441">
        <f t="shared" si="33"/>
        <v>-3.0726503997514114</v>
      </c>
      <c r="G441">
        <f t="shared" si="34"/>
        <v>0</v>
      </c>
    </row>
    <row r="442" spans="1:7" x14ac:dyDescent="0.3">
      <c r="A442">
        <v>2.1949999999999901</v>
      </c>
      <c r="B442">
        <v>0</v>
      </c>
      <c r="C442">
        <f t="shared" si="30"/>
        <v>-682.42105263157873</v>
      </c>
      <c r="D442">
        <f t="shared" si="31"/>
        <v>-4.9049999999999996E-2</v>
      </c>
      <c r="E442">
        <f t="shared" si="32"/>
        <v>-8.2863664437181921</v>
      </c>
      <c r="F442">
        <f t="shared" si="33"/>
        <v>-3.1139596069700022</v>
      </c>
      <c r="G442">
        <f t="shared" si="34"/>
        <v>0</v>
      </c>
    </row>
    <row r="443" spans="1:7" x14ac:dyDescent="0.3">
      <c r="A443">
        <v>2.19999999999999</v>
      </c>
      <c r="B443">
        <v>0</v>
      </c>
      <c r="C443">
        <f t="shared" si="30"/>
        <v>-682.42105263157873</v>
      </c>
      <c r="D443">
        <f t="shared" si="31"/>
        <v>-4.9049999999999996E-2</v>
      </c>
      <c r="E443">
        <f t="shared" si="32"/>
        <v>-8.3354164437181915</v>
      </c>
      <c r="F443">
        <f t="shared" si="33"/>
        <v>-3.1555140641885933</v>
      </c>
      <c r="G443">
        <f t="shared" si="34"/>
        <v>0</v>
      </c>
    </row>
    <row r="444" spans="1:7" x14ac:dyDescent="0.3">
      <c r="A444">
        <v>2.2049999999999899</v>
      </c>
      <c r="B444">
        <v>0</v>
      </c>
      <c r="C444">
        <f t="shared" si="30"/>
        <v>-682.42105263157873</v>
      </c>
      <c r="D444">
        <f t="shared" si="31"/>
        <v>-4.9049999999999996E-2</v>
      </c>
      <c r="E444">
        <f t="shared" si="32"/>
        <v>-8.3844664437181908</v>
      </c>
      <c r="F444">
        <f t="shared" si="33"/>
        <v>-3.1973137714071842</v>
      </c>
      <c r="G444">
        <f t="shared" si="34"/>
        <v>0</v>
      </c>
    </row>
    <row r="445" spans="1:7" x14ac:dyDescent="0.3">
      <c r="A445">
        <v>2.2099999999999902</v>
      </c>
      <c r="B445">
        <v>0</v>
      </c>
      <c r="C445">
        <f t="shared" si="30"/>
        <v>-682.42105263157873</v>
      </c>
      <c r="D445">
        <f t="shared" si="31"/>
        <v>-4.9049999999999996E-2</v>
      </c>
      <c r="E445">
        <f t="shared" si="32"/>
        <v>-8.4335164437181902</v>
      </c>
      <c r="F445">
        <f t="shared" si="33"/>
        <v>-3.239358728625775</v>
      </c>
      <c r="G445">
        <f t="shared" si="34"/>
        <v>0</v>
      </c>
    </row>
    <row r="446" spans="1:7" x14ac:dyDescent="0.3">
      <c r="A446">
        <v>2.2149999999999901</v>
      </c>
      <c r="B446">
        <v>0</v>
      </c>
      <c r="C446">
        <f t="shared" si="30"/>
        <v>-682.42105263157873</v>
      </c>
      <c r="D446">
        <f t="shared" si="31"/>
        <v>-4.9049999999999996E-2</v>
      </c>
      <c r="E446">
        <f t="shared" si="32"/>
        <v>-8.4825664437181896</v>
      </c>
      <c r="F446">
        <f t="shared" si="33"/>
        <v>-3.2816489358443661</v>
      </c>
      <c r="G446">
        <f t="shared" si="34"/>
        <v>0</v>
      </c>
    </row>
    <row r="447" spans="1:7" x14ac:dyDescent="0.3">
      <c r="A447">
        <v>2.21999999999999</v>
      </c>
      <c r="B447">
        <v>0</v>
      </c>
      <c r="C447">
        <f t="shared" si="30"/>
        <v>-682.42105263157873</v>
      </c>
      <c r="D447">
        <f t="shared" si="31"/>
        <v>-4.9049999999999996E-2</v>
      </c>
      <c r="E447">
        <f t="shared" si="32"/>
        <v>-8.5316164437181889</v>
      </c>
      <c r="F447">
        <f t="shared" si="33"/>
        <v>-3.3241843930629571</v>
      </c>
      <c r="G447">
        <f t="shared" si="34"/>
        <v>0</v>
      </c>
    </row>
    <row r="448" spans="1:7" x14ac:dyDescent="0.3">
      <c r="A448">
        <v>2.2249999999999899</v>
      </c>
      <c r="B448">
        <v>0</v>
      </c>
      <c r="C448">
        <f t="shared" si="30"/>
        <v>-682.42105263157873</v>
      </c>
      <c r="D448">
        <f t="shared" si="31"/>
        <v>-4.9049999999999996E-2</v>
      </c>
      <c r="E448">
        <f t="shared" si="32"/>
        <v>-8.5806664437181883</v>
      </c>
      <c r="F448">
        <f t="shared" si="33"/>
        <v>-3.3669651002815479</v>
      </c>
      <c r="G448">
        <f t="shared" si="34"/>
        <v>0</v>
      </c>
    </row>
    <row r="449" spans="1:7" x14ac:dyDescent="0.3">
      <c r="A449">
        <v>2.2299999999999902</v>
      </c>
      <c r="B449">
        <v>0</v>
      </c>
      <c r="C449">
        <f t="shared" si="30"/>
        <v>-682.42105263157873</v>
      </c>
      <c r="D449">
        <f t="shared" si="31"/>
        <v>-4.9049999999999996E-2</v>
      </c>
      <c r="E449">
        <f t="shared" si="32"/>
        <v>-8.6297164437181877</v>
      </c>
      <c r="F449">
        <f t="shared" si="33"/>
        <v>-3.4099910575001391</v>
      </c>
      <c r="G449">
        <f t="shared" si="34"/>
        <v>0</v>
      </c>
    </row>
    <row r="450" spans="1:7" x14ac:dyDescent="0.3">
      <c r="A450">
        <v>2.2349999999999901</v>
      </c>
      <c r="B450">
        <v>0</v>
      </c>
      <c r="C450">
        <f t="shared" si="30"/>
        <v>-682.42105263157873</v>
      </c>
      <c r="D450">
        <f t="shared" si="31"/>
        <v>-4.9049999999999996E-2</v>
      </c>
      <c r="E450">
        <f t="shared" si="32"/>
        <v>-8.6787664437181871</v>
      </c>
      <c r="F450">
        <f t="shared" si="33"/>
        <v>-3.4532622647187301</v>
      </c>
      <c r="G450">
        <f t="shared" si="34"/>
        <v>0</v>
      </c>
    </row>
    <row r="451" spans="1:7" x14ac:dyDescent="0.3">
      <c r="A451">
        <v>2.23999999999999</v>
      </c>
      <c r="B451">
        <v>0</v>
      </c>
      <c r="C451">
        <f t="shared" si="30"/>
        <v>-682.42105263157873</v>
      </c>
      <c r="D451">
        <f t="shared" si="31"/>
        <v>-4.9049999999999996E-2</v>
      </c>
      <c r="E451">
        <f t="shared" si="32"/>
        <v>-8.7278164437181864</v>
      </c>
      <c r="F451">
        <f t="shared" si="33"/>
        <v>-3.496778721937321</v>
      </c>
      <c r="G451">
        <f t="shared" si="34"/>
        <v>0</v>
      </c>
    </row>
    <row r="452" spans="1:7" x14ac:dyDescent="0.3">
      <c r="A452">
        <v>2.2449999999999899</v>
      </c>
      <c r="B452">
        <v>0</v>
      </c>
      <c r="C452">
        <f t="shared" ref="C452:C515" si="35">B452+$C$1</f>
        <v>-682.42105263157873</v>
      </c>
      <c r="D452">
        <f t="shared" si="31"/>
        <v>-4.9049999999999996E-2</v>
      </c>
      <c r="E452">
        <f t="shared" si="32"/>
        <v>-8.7768664437181858</v>
      </c>
      <c r="F452">
        <f t="shared" si="33"/>
        <v>-3.5405404291559117</v>
      </c>
      <c r="G452">
        <f t="shared" si="34"/>
        <v>0</v>
      </c>
    </row>
    <row r="453" spans="1:7" x14ac:dyDescent="0.3">
      <c r="A453">
        <v>2.2499999999999898</v>
      </c>
      <c r="B453">
        <v>0</v>
      </c>
      <c r="C453">
        <f t="shared" si="35"/>
        <v>-682.42105263157873</v>
      </c>
      <c r="D453">
        <f t="shared" ref="D453:D516" si="36">1/$E$1*(C452+C453)*0.005/2</f>
        <v>-4.9049999999999996E-2</v>
      </c>
      <c r="E453">
        <f t="shared" ref="E453:E516" si="37">E452+D453</f>
        <v>-8.8259164437181852</v>
      </c>
      <c r="F453">
        <f t="shared" ref="F453:F516" si="38">F452+(E452+E453)*0.005/2</f>
        <v>-3.5845473863745028</v>
      </c>
      <c r="G453">
        <f t="shared" ref="G453:G516" si="39">B453*E453</f>
        <v>0</v>
      </c>
    </row>
    <row r="454" spans="1:7" x14ac:dyDescent="0.3">
      <c r="A454">
        <v>2.2549999999999901</v>
      </c>
      <c r="B454">
        <v>0</v>
      </c>
      <c r="C454">
        <f t="shared" si="35"/>
        <v>-682.42105263157873</v>
      </c>
      <c r="D454">
        <f t="shared" si="36"/>
        <v>-4.9049999999999996E-2</v>
      </c>
      <c r="E454">
        <f t="shared" si="37"/>
        <v>-8.8749664437181845</v>
      </c>
      <c r="F454">
        <f t="shared" si="38"/>
        <v>-3.6287995935930937</v>
      </c>
      <c r="G454">
        <f t="shared" si="39"/>
        <v>0</v>
      </c>
    </row>
    <row r="455" spans="1:7" x14ac:dyDescent="0.3">
      <c r="A455">
        <v>2.25999999999999</v>
      </c>
      <c r="B455">
        <v>0</v>
      </c>
      <c r="C455">
        <f t="shared" si="35"/>
        <v>-682.42105263157873</v>
      </c>
      <c r="D455">
        <f t="shared" si="36"/>
        <v>-4.9049999999999996E-2</v>
      </c>
      <c r="E455">
        <f t="shared" si="37"/>
        <v>-8.9240164437181839</v>
      </c>
      <c r="F455">
        <f t="shared" si="38"/>
        <v>-3.6732970508116844</v>
      </c>
      <c r="G455">
        <f t="shared" si="39"/>
        <v>0</v>
      </c>
    </row>
    <row r="456" spans="1:7" x14ac:dyDescent="0.3">
      <c r="A456">
        <v>2.2649999999999899</v>
      </c>
      <c r="B456">
        <v>0</v>
      </c>
      <c r="C456">
        <f t="shared" si="35"/>
        <v>-682.42105263157873</v>
      </c>
      <c r="D456">
        <f t="shared" si="36"/>
        <v>-4.9049999999999996E-2</v>
      </c>
      <c r="E456">
        <f t="shared" si="37"/>
        <v>-8.9730664437181833</v>
      </c>
      <c r="F456">
        <f t="shared" si="38"/>
        <v>-3.7180397580302755</v>
      </c>
      <c r="G456">
        <f t="shared" si="39"/>
        <v>0</v>
      </c>
    </row>
    <row r="457" spans="1:7" x14ac:dyDescent="0.3">
      <c r="A457">
        <v>2.2699999999999898</v>
      </c>
      <c r="B457">
        <v>0</v>
      </c>
      <c r="C457">
        <f t="shared" si="35"/>
        <v>-682.42105263157873</v>
      </c>
      <c r="D457">
        <f t="shared" si="36"/>
        <v>-4.9049999999999996E-2</v>
      </c>
      <c r="E457">
        <f t="shared" si="37"/>
        <v>-9.0221164437181827</v>
      </c>
      <c r="F457">
        <f t="shared" si="38"/>
        <v>-3.7630277152488665</v>
      </c>
      <c r="G457">
        <f t="shared" si="39"/>
        <v>0</v>
      </c>
    </row>
    <row r="458" spans="1:7" x14ac:dyDescent="0.3">
      <c r="A458">
        <v>2.2749999999999901</v>
      </c>
      <c r="B458">
        <v>0</v>
      </c>
      <c r="C458">
        <f t="shared" si="35"/>
        <v>-682.42105263157873</v>
      </c>
      <c r="D458">
        <f t="shared" si="36"/>
        <v>-4.9049999999999996E-2</v>
      </c>
      <c r="E458">
        <f t="shared" si="37"/>
        <v>-9.071166443718182</v>
      </c>
      <c r="F458">
        <f t="shared" si="38"/>
        <v>-3.8082609224674573</v>
      </c>
      <c r="G458">
        <f t="shared" si="39"/>
        <v>0</v>
      </c>
    </row>
    <row r="459" spans="1:7" x14ac:dyDescent="0.3">
      <c r="A459">
        <v>2.27999999999999</v>
      </c>
      <c r="B459">
        <v>0</v>
      </c>
      <c r="C459">
        <f t="shared" si="35"/>
        <v>-682.42105263157873</v>
      </c>
      <c r="D459">
        <f t="shared" si="36"/>
        <v>-4.9049999999999996E-2</v>
      </c>
      <c r="E459">
        <f t="shared" si="37"/>
        <v>-9.1202164437181814</v>
      </c>
      <c r="F459">
        <f t="shared" si="38"/>
        <v>-3.8537393796860484</v>
      </c>
      <c r="G459">
        <f t="shared" si="39"/>
        <v>0</v>
      </c>
    </row>
    <row r="460" spans="1:7" x14ac:dyDescent="0.3">
      <c r="A460">
        <v>2.2849999999999899</v>
      </c>
      <c r="B460">
        <v>0</v>
      </c>
      <c r="C460">
        <f t="shared" si="35"/>
        <v>-682.42105263157873</v>
      </c>
      <c r="D460">
        <f t="shared" si="36"/>
        <v>-4.9049999999999996E-2</v>
      </c>
      <c r="E460">
        <f t="shared" si="37"/>
        <v>-9.1692664437181808</v>
      </c>
      <c r="F460">
        <f t="shared" si="38"/>
        <v>-3.8994630869046394</v>
      </c>
      <c r="G460">
        <f t="shared" si="39"/>
        <v>0</v>
      </c>
    </row>
    <row r="461" spans="1:7" x14ac:dyDescent="0.3">
      <c r="A461">
        <v>2.2899999999999898</v>
      </c>
      <c r="B461">
        <v>0</v>
      </c>
      <c r="C461">
        <f t="shared" si="35"/>
        <v>-682.42105263157873</v>
      </c>
      <c r="D461">
        <f t="shared" si="36"/>
        <v>-4.9049999999999996E-2</v>
      </c>
      <c r="E461">
        <f t="shared" si="37"/>
        <v>-9.2183164437181802</v>
      </c>
      <c r="F461">
        <f t="shared" si="38"/>
        <v>-3.9454320441232302</v>
      </c>
      <c r="G461">
        <f t="shared" si="39"/>
        <v>0</v>
      </c>
    </row>
    <row r="462" spans="1:7" x14ac:dyDescent="0.3">
      <c r="A462">
        <v>2.2949999999999902</v>
      </c>
      <c r="B462">
        <v>0</v>
      </c>
      <c r="C462">
        <f t="shared" si="35"/>
        <v>-682.42105263157873</v>
      </c>
      <c r="D462">
        <f t="shared" si="36"/>
        <v>-4.9049999999999996E-2</v>
      </c>
      <c r="E462">
        <f t="shared" si="37"/>
        <v>-9.2673664437181795</v>
      </c>
      <c r="F462">
        <f t="shared" si="38"/>
        <v>-3.9916462513418209</v>
      </c>
      <c r="G462">
        <f t="shared" si="39"/>
        <v>0</v>
      </c>
    </row>
    <row r="463" spans="1:7" x14ac:dyDescent="0.3">
      <c r="A463">
        <v>2.2999999999999901</v>
      </c>
      <c r="B463">
        <v>0</v>
      </c>
      <c r="C463">
        <f t="shared" si="35"/>
        <v>-682.42105263157873</v>
      </c>
      <c r="D463">
        <f t="shared" si="36"/>
        <v>-4.9049999999999996E-2</v>
      </c>
      <c r="E463">
        <f t="shared" si="37"/>
        <v>-9.3164164437181789</v>
      </c>
      <c r="F463">
        <f t="shared" si="38"/>
        <v>-4.038105708560412</v>
      </c>
      <c r="G463">
        <f t="shared" si="39"/>
        <v>0</v>
      </c>
    </row>
    <row r="464" spans="1:7" x14ac:dyDescent="0.3">
      <c r="A464">
        <v>2.3049999999999899</v>
      </c>
      <c r="B464">
        <v>0</v>
      </c>
      <c r="C464">
        <f t="shared" si="35"/>
        <v>-682.42105263157873</v>
      </c>
      <c r="D464">
        <f t="shared" si="36"/>
        <v>-4.9049999999999996E-2</v>
      </c>
      <c r="E464">
        <f t="shared" si="37"/>
        <v>-9.3654664437181783</v>
      </c>
      <c r="F464">
        <f t="shared" si="38"/>
        <v>-4.0848104157790033</v>
      </c>
      <c r="G464">
        <f t="shared" si="39"/>
        <v>0</v>
      </c>
    </row>
    <row r="465" spans="1:7" x14ac:dyDescent="0.3">
      <c r="A465">
        <v>2.3099999999999898</v>
      </c>
      <c r="B465">
        <v>0</v>
      </c>
      <c r="C465">
        <f t="shared" si="35"/>
        <v>-682.42105263157873</v>
      </c>
      <c r="D465">
        <f t="shared" si="36"/>
        <v>-4.9049999999999996E-2</v>
      </c>
      <c r="E465">
        <f t="shared" si="37"/>
        <v>-9.4145164437181776</v>
      </c>
      <c r="F465">
        <f t="shared" si="38"/>
        <v>-4.1317603729975945</v>
      </c>
      <c r="G465">
        <f t="shared" si="39"/>
        <v>0</v>
      </c>
    </row>
    <row r="466" spans="1:7" x14ac:dyDescent="0.3">
      <c r="A466">
        <v>2.3149999999999902</v>
      </c>
      <c r="B466">
        <v>0</v>
      </c>
      <c r="C466">
        <f t="shared" si="35"/>
        <v>-682.42105263157873</v>
      </c>
      <c r="D466">
        <f t="shared" si="36"/>
        <v>-4.9049999999999996E-2</v>
      </c>
      <c r="E466">
        <f t="shared" si="37"/>
        <v>-9.463566443718177</v>
      </c>
      <c r="F466">
        <f t="shared" si="38"/>
        <v>-4.1789555802161855</v>
      </c>
      <c r="G466">
        <f t="shared" si="39"/>
        <v>0</v>
      </c>
    </row>
    <row r="467" spans="1:7" x14ac:dyDescent="0.3">
      <c r="A467">
        <v>2.3199999999999901</v>
      </c>
      <c r="B467">
        <v>0</v>
      </c>
      <c r="C467">
        <f t="shared" si="35"/>
        <v>-682.42105263157873</v>
      </c>
      <c r="D467">
        <f t="shared" si="36"/>
        <v>-4.9049999999999996E-2</v>
      </c>
      <c r="E467">
        <f t="shared" si="37"/>
        <v>-9.5126164437181764</v>
      </c>
      <c r="F467">
        <f t="shared" si="38"/>
        <v>-4.2263960374347764</v>
      </c>
      <c r="G467">
        <f t="shared" si="39"/>
        <v>0</v>
      </c>
    </row>
    <row r="468" spans="1:7" x14ac:dyDescent="0.3">
      <c r="A468">
        <v>2.32499999999999</v>
      </c>
      <c r="B468">
        <v>0</v>
      </c>
      <c r="C468">
        <f t="shared" si="35"/>
        <v>-682.42105263157873</v>
      </c>
      <c r="D468">
        <f t="shared" si="36"/>
        <v>-4.9049999999999996E-2</v>
      </c>
      <c r="E468">
        <f t="shared" si="37"/>
        <v>-9.5616664437181758</v>
      </c>
      <c r="F468">
        <f t="shared" si="38"/>
        <v>-4.2740817446533672</v>
      </c>
      <c r="G468">
        <f t="shared" si="39"/>
        <v>0</v>
      </c>
    </row>
    <row r="469" spans="1:7" x14ac:dyDescent="0.3">
      <c r="A469">
        <v>2.3299999999999899</v>
      </c>
      <c r="B469">
        <v>0</v>
      </c>
      <c r="C469">
        <f t="shared" si="35"/>
        <v>-682.42105263157873</v>
      </c>
      <c r="D469">
        <f t="shared" si="36"/>
        <v>-4.9049999999999996E-2</v>
      </c>
      <c r="E469">
        <f t="shared" si="37"/>
        <v>-9.6107164437181751</v>
      </c>
      <c r="F469">
        <f t="shared" si="38"/>
        <v>-4.3220127018719579</v>
      </c>
      <c r="G469">
        <f t="shared" si="39"/>
        <v>0</v>
      </c>
    </row>
    <row r="470" spans="1:7" x14ac:dyDescent="0.3">
      <c r="A470">
        <v>2.3349999999999902</v>
      </c>
      <c r="B470">
        <v>0</v>
      </c>
      <c r="C470">
        <f t="shared" si="35"/>
        <v>-682.42105263157873</v>
      </c>
      <c r="D470">
        <f t="shared" si="36"/>
        <v>-4.9049999999999996E-2</v>
      </c>
      <c r="E470">
        <f t="shared" si="37"/>
        <v>-9.6597664437181745</v>
      </c>
      <c r="F470">
        <f t="shared" si="38"/>
        <v>-4.3701889090905484</v>
      </c>
      <c r="G470">
        <f t="shared" si="39"/>
        <v>0</v>
      </c>
    </row>
    <row r="471" spans="1:7" x14ac:dyDescent="0.3">
      <c r="A471">
        <v>2.3399999999999901</v>
      </c>
      <c r="B471">
        <v>0</v>
      </c>
      <c r="C471">
        <f t="shared" si="35"/>
        <v>-682.42105263157873</v>
      </c>
      <c r="D471">
        <f t="shared" si="36"/>
        <v>-4.9049999999999996E-2</v>
      </c>
      <c r="E471">
        <f t="shared" si="37"/>
        <v>-9.7088164437181739</v>
      </c>
      <c r="F471">
        <f t="shared" si="38"/>
        <v>-4.4186103663091396</v>
      </c>
      <c r="G471">
        <f t="shared" si="39"/>
        <v>0</v>
      </c>
    </row>
    <row r="472" spans="1:7" x14ac:dyDescent="0.3">
      <c r="A472">
        <v>2.34499999999999</v>
      </c>
      <c r="B472">
        <v>0</v>
      </c>
      <c r="C472">
        <f t="shared" si="35"/>
        <v>-682.42105263157873</v>
      </c>
      <c r="D472">
        <f t="shared" si="36"/>
        <v>-4.9049999999999996E-2</v>
      </c>
      <c r="E472">
        <f t="shared" si="37"/>
        <v>-9.7578664437181732</v>
      </c>
      <c r="F472">
        <f t="shared" si="38"/>
        <v>-4.4672770735277307</v>
      </c>
      <c r="G472">
        <f t="shared" si="39"/>
        <v>0</v>
      </c>
    </row>
    <row r="473" spans="1:7" x14ac:dyDescent="0.3">
      <c r="A473">
        <v>2.3499999999999899</v>
      </c>
      <c r="B473">
        <v>0</v>
      </c>
      <c r="C473">
        <f t="shared" si="35"/>
        <v>-682.42105263157873</v>
      </c>
      <c r="D473">
        <f t="shared" si="36"/>
        <v>-4.9049999999999996E-2</v>
      </c>
      <c r="E473">
        <f t="shared" si="37"/>
        <v>-9.8069164437181726</v>
      </c>
      <c r="F473">
        <f t="shared" si="38"/>
        <v>-4.5161890307463217</v>
      </c>
      <c r="G473">
        <f t="shared" si="39"/>
        <v>0</v>
      </c>
    </row>
    <row r="474" spans="1:7" x14ac:dyDescent="0.3">
      <c r="A474">
        <v>2.3549999999999902</v>
      </c>
      <c r="B474">
        <v>0</v>
      </c>
      <c r="C474">
        <f t="shared" si="35"/>
        <v>-682.42105263157873</v>
      </c>
      <c r="D474">
        <f t="shared" si="36"/>
        <v>-4.9049999999999996E-2</v>
      </c>
      <c r="E474">
        <f t="shared" si="37"/>
        <v>-9.855966443718172</v>
      </c>
      <c r="F474">
        <f t="shared" si="38"/>
        <v>-4.5653462379649126</v>
      </c>
      <c r="G474">
        <f t="shared" si="39"/>
        <v>0</v>
      </c>
    </row>
    <row r="475" spans="1:7" x14ac:dyDescent="0.3">
      <c r="A475">
        <v>2.3599999999999901</v>
      </c>
      <c r="B475">
        <v>0</v>
      </c>
      <c r="C475">
        <f t="shared" si="35"/>
        <v>-682.42105263157873</v>
      </c>
      <c r="D475">
        <f t="shared" si="36"/>
        <v>-4.9049999999999996E-2</v>
      </c>
      <c r="E475">
        <f t="shared" si="37"/>
        <v>-9.9050164437181714</v>
      </c>
      <c r="F475">
        <f t="shared" si="38"/>
        <v>-4.6147486951835033</v>
      </c>
      <c r="G475">
        <f t="shared" si="39"/>
        <v>0</v>
      </c>
    </row>
    <row r="476" spans="1:7" x14ac:dyDescent="0.3">
      <c r="A476">
        <v>2.36499999999999</v>
      </c>
      <c r="B476">
        <v>0</v>
      </c>
      <c r="C476">
        <f t="shared" si="35"/>
        <v>-682.42105263157873</v>
      </c>
      <c r="D476">
        <f t="shared" si="36"/>
        <v>-4.9049999999999996E-2</v>
      </c>
      <c r="E476">
        <f t="shared" si="37"/>
        <v>-9.9540664437181707</v>
      </c>
      <c r="F476">
        <f t="shared" si="38"/>
        <v>-4.6643964024020939</v>
      </c>
      <c r="G476">
        <f t="shared" si="39"/>
        <v>0</v>
      </c>
    </row>
    <row r="477" spans="1:7" x14ac:dyDescent="0.3">
      <c r="A477">
        <v>2.3699999999999899</v>
      </c>
      <c r="B477">
        <v>0</v>
      </c>
      <c r="C477">
        <f t="shared" si="35"/>
        <v>-682.42105263157873</v>
      </c>
      <c r="D477">
        <f t="shared" si="36"/>
        <v>-4.9049999999999996E-2</v>
      </c>
      <c r="E477">
        <f t="shared" si="37"/>
        <v>-10.00311644371817</v>
      </c>
      <c r="F477">
        <f t="shared" si="38"/>
        <v>-4.7142893596206843</v>
      </c>
      <c r="G477">
        <f t="shared" si="39"/>
        <v>0</v>
      </c>
    </row>
    <row r="478" spans="1:7" x14ac:dyDescent="0.3">
      <c r="A478">
        <v>2.3749999999999898</v>
      </c>
      <c r="B478">
        <v>0</v>
      </c>
      <c r="C478">
        <f t="shared" si="35"/>
        <v>-682.42105263157873</v>
      </c>
      <c r="D478">
        <f t="shared" si="36"/>
        <v>-4.9049999999999996E-2</v>
      </c>
      <c r="E478">
        <f t="shared" si="37"/>
        <v>-10.052166443718169</v>
      </c>
      <c r="F478">
        <f t="shared" si="38"/>
        <v>-4.7644275668392755</v>
      </c>
      <c r="G478">
        <f t="shared" si="39"/>
        <v>0</v>
      </c>
    </row>
    <row r="479" spans="1:7" x14ac:dyDescent="0.3">
      <c r="A479">
        <v>2.3799999999999901</v>
      </c>
      <c r="B479">
        <v>0</v>
      </c>
      <c r="C479">
        <f t="shared" si="35"/>
        <v>-682.42105263157873</v>
      </c>
      <c r="D479">
        <f t="shared" si="36"/>
        <v>-4.9049999999999996E-2</v>
      </c>
      <c r="E479">
        <f t="shared" si="37"/>
        <v>-10.101216443718169</v>
      </c>
      <c r="F479">
        <f t="shared" si="38"/>
        <v>-4.8148110240578665</v>
      </c>
      <c r="G479">
        <f t="shared" si="39"/>
        <v>0</v>
      </c>
    </row>
    <row r="480" spans="1:7" x14ac:dyDescent="0.3">
      <c r="A480">
        <v>2.38499999999999</v>
      </c>
      <c r="B480">
        <v>0</v>
      </c>
      <c r="C480">
        <f t="shared" si="35"/>
        <v>-682.42105263157873</v>
      </c>
      <c r="D480">
        <f t="shared" si="36"/>
        <v>-4.9049999999999996E-2</v>
      </c>
      <c r="E480">
        <f t="shared" si="37"/>
        <v>-10.150266443718168</v>
      </c>
      <c r="F480">
        <f t="shared" si="38"/>
        <v>-4.8654397312764575</v>
      </c>
      <c r="G480">
        <f t="shared" si="39"/>
        <v>0</v>
      </c>
    </row>
    <row r="481" spans="1:7" x14ac:dyDescent="0.3">
      <c r="A481">
        <v>2.3899999999999899</v>
      </c>
      <c r="B481">
        <v>0</v>
      </c>
      <c r="C481">
        <f t="shared" si="35"/>
        <v>-682.42105263157873</v>
      </c>
      <c r="D481">
        <f t="shared" si="36"/>
        <v>-4.9049999999999996E-2</v>
      </c>
      <c r="E481">
        <f t="shared" si="37"/>
        <v>-10.199316443718168</v>
      </c>
      <c r="F481">
        <f t="shared" si="38"/>
        <v>-4.9163136884950482</v>
      </c>
      <c r="G481">
        <f t="shared" si="39"/>
        <v>0</v>
      </c>
    </row>
    <row r="482" spans="1:7" x14ac:dyDescent="0.3">
      <c r="A482">
        <v>2.3949999999999898</v>
      </c>
      <c r="B482">
        <v>0</v>
      </c>
      <c r="C482">
        <f t="shared" si="35"/>
        <v>-682.42105263157873</v>
      </c>
      <c r="D482">
        <f t="shared" si="36"/>
        <v>-4.9049999999999996E-2</v>
      </c>
      <c r="E482">
        <f t="shared" si="37"/>
        <v>-10.248366443718167</v>
      </c>
      <c r="F482">
        <f t="shared" si="38"/>
        <v>-4.9674328957136389</v>
      </c>
      <c r="G482">
        <f t="shared" si="39"/>
        <v>0</v>
      </c>
    </row>
    <row r="483" spans="1:7" x14ac:dyDescent="0.3">
      <c r="A483">
        <v>2.3999999999999901</v>
      </c>
      <c r="B483">
        <v>0</v>
      </c>
      <c r="C483">
        <f t="shared" si="35"/>
        <v>-682.42105263157873</v>
      </c>
      <c r="D483">
        <f t="shared" si="36"/>
        <v>-4.9049999999999996E-2</v>
      </c>
      <c r="E483">
        <f t="shared" si="37"/>
        <v>-10.297416443718166</v>
      </c>
      <c r="F483">
        <f t="shared" si="38"/>
        <v>-5.0187973529322294</v>
      </c>
      <c r="G483">
        <f t="shared" si="39"/>
        <v>0</v>
      </c>
    </row>
    <row r="484" spans="1:7" x14ac:dyDescent="0.3">
      <c r="A484">
        <v>2.40499999999999</v>
      </c>
      <c r="B484">
        <v>0</v>
      </c>
      <c r="C484">
        <f t="shared" si="35"/>
        <v>-682.42105263157873</v>
      </c>
      <c r="D484">
        <f t="shared" si="36"/>
        <v>-4.9049999999999996E-2</v>
      </c>
      <c r="E484">
        <f t="shared" si="37"/>
        <v>-10.346466443718166</v>
      </c>
      <c r="F484">
        <f t="shared" si="38"/>
        <v>-5.0704070601508207</v>
      </c>
      <c r="G484">
        <f t="shared" si="39"/>
        <v>0</v>
      </c>
    </row>
    <row r="485" spans="1:7" x14ac:dyDescent="0.3">
      <c r="A485">
        <v>2.4099999999999899</v>
      </c>
      <c r="B485">
        <v>0</v>
      </c>
      <c r="C485">
        <f t="shared" si="35"/>
        <v>-682.42105263157873</v>
      </c>
      <c r="D485">
        <f t="shared" si="36"/>
        <v>-4.9049999999999996E-2</v>
      </c>
      <c r="E485">
        <f t="shared" si="37"/>
        <v>-10.395516443718165</v>
      </c>
      <c r="F485">
        <f t="shared" si="38"/>
        <v>-5.1222620173694118</v>
      </c>
      <c r="G485">
        <f t="shared" si="39"/>
        <v>0</v>
      </c>
    </row>
    <row r="486" spans="1:7" x14ac:dyDescent="0.3">
      <c r="A486">
        <v>2.4149999999999898</v>
      </c>
      <c r="B486">
        <v>0</v>
      </c>
      <c r="C486">
        <f t="shared" si="35"/>
        <v>-682.42105263157873</v>
      </c>
      <c r="D486">
        <f t="shared" si="36"/>
        <v>-4.9049999999999996E-2</v>
      </c>
      <c r="E486">
        <f t="shared" si="37"/>
        <v>-10.444566443718164</v>
      </c>
      <c r="F486">
        <f t="shared" si="38"/>
        <v>-5.1743622245880028</v>
      </c>
      <c r="G486">
        <f t="shared" si="39"/>
        <v>0</v>
      </c>
    </row>
    <row r="487" spans="1:7" x14ac:dyDescent="0.3">
      <c r="A487">
        <v>2.4199999999999902</v>
      </c>
      <c r="B487">
        <v>0</v>
      </c>
      <c r="C487">
        <f t="shared" si="35"/>
        <v>-682.42105263157873</v>
      </c>
      <c r="D487">
        <f t="shared" si="36"/>
        <v>-4.9049999999999996E-2</v>
      </c>
      <c r="E487">
        <f t="shared" si="37"/>
        <v>-10.493616443718164</v>
      </c>
      <c r="F487">
        <f t="shared" si="38"/>
        <v>-5.2267076818065936</v>
      </c>
      <c r="G487">
        <f t="shared" si="39"/>
        <v>0</v>
      </c>
    </row>
    <row r="488" spans="1:7" x14ac:dyDescent="0.3">
      <c r="A488">
        <v>2.4249999999999901</v>
      </c>
      <c r="B488">
        <v>0</v>
      </c>
      <c r="C488">
        <f t="shared" si="35"/>
        <v>-682.42105263157873</v>
      </c>
      <c r="D488">
        <f t="shared" si="36"/>
        <v>-4.9049999999999996E-2</v>
      </c>
      <c r="E488">
        <f t="shared" si="37"/>
        <v>-10.542666443718163</v>
      </c>
      <c r="F488">
        <f t="shared" si="38"/>
        <v>-5.2792983890251843</v>
      </c>
      <c r="G488">
        <f t="shared" si="39"/>
        <v>0</v>
      </c>
    </row>
    <row r="489" spans="1:7" x14ac:dyDescent="0.3">
      <c r="A489">
        <v>2.4299999999999899</v>
      </c>
      <c r="B489">
        <v>0</v>
      </c>
      <c r="C489">
        <f t="shared" si="35"/>
        <v>-682.42105263157873</v>
      </c>
      <c r="D489">
        <f t="shared" si="36"/>
        <v>-4.9049999999999996E-2</v>
      </c>
      <c r="E489">
        <f t="shared" si="37"/>
        <v>-10.591716443718163</v>
      </c>
      <c r="F489">
        <f t="shared" si="38"/>
        <v>-5.3321343462437749</v>
      </c>
      <c r="G489">
        <f t="shared" si="39"/>
        <v>0</v>
      </c>
    </row>
    <row r="490" spans="1:7" x14ac:dyDescent="0.3">
      <c r="A490">
        <v>2.4349999999999898</v>
      </c>
      <c r="B490">
        <v>0</v>
      </c>
      <c r="C490">
        <f t="shared" si="35"/>
        <v>-682.42105263157873</v>
      </c>
      <c r="D490">
        <f t="shared" si="36"/>
        <v>-4.9049999999999996E-2</v>
      </c>
      <c r="E490">
        <f t="shared" si="37"/>
        <v>-10.640766443718162</v>
      </c>
      <c r="F490">
        <f t="shared" si="38"/>
        <v>-5.3852155534623654</v>
      </c>
      <c r="G490">
        <f t="shared" si="39"/>
        <v>0</v>
      </c>
    </row>
    <row r="491" spans="1:7" x14ac:dyDescent="0.3">
      <c r="A491">
        <v>2.4399999999999902</v>
      </c>
      <c r="B491">
        <v>0</v>
      </c>
      <c r="C491">
        <f t="shared" si="35"/>
        <v>-682.42105263157873</v>
      </c>
      <c r="D491">
        <f t="shared" si="36"/>
        <v>-4.9049999999999996E-2</v>
      </c>
      <c r="E491">
        <f t="shared" si="37"/>
        <v>-10.689816443718161</v>
      </c>
      <c r="F491">
        <f t="shared" si="38"/>
        <v>-5.4385420106809566</v>
      </c>
      <c r="G491">
        <f t="shared" si="39"/>
        <v>0</v>
      </c>
    </row>
    <row r="492" spans="1:7" x14ac:dyDescent="0.3">
      <c r="A492">
        <v>2.4449999999999901</v>
      </c>
      <c r="B492">
        <v>0</v>
      </c>
      <c r="C492">
        <f t="shared" si="35"/>
        <v>-682.42105263157873</v>
      </c>
      <c r="D492">
        <f t="shared" si="36"/>
        <v>-4.9049999999999996E-2</v>
      </c>
      <c r="E492">
        <f t="shared" si="37"/>
        <v>-10.738866443718161</v>
      </c>
      <c r="F492">
        <f t="shared" si="38"/>
        <v>-5.4921137178995476</v>
      </c>
      <c r="G492">
        <f t="shared" si="39"/>
        <v>0</v>
      </c>
    </row>
    <row r="493" spans="1:7" x14ac:dyDescent="0.3">
      <c r="A493">
        <v>2.44999999999999</v>
      </c>
      <c r="B493">
        <v>0</v>
      </c>
      <c r="C493">
        <f t="shared" si="35"/>
        <v>-682.42105263157873</v>
      </c>
      <c r="D493">
        <f t="shared" si="36"/>
        <v>-4.9049999999999996E-2</v>
      </c>
      <c r="E493">
        <f t="shared" si="37"/>
        <v>-10.78791644371816</v>
      </c>
      <c r="F493">
        <f t="shared" si="38"/>
        <v>-5.5459306751181385</v>
      </c>
      <c r="G493">
        <f t="shared" si="39"/>
        <v>0</v>
      </c>
    </row>
    <row r="494" spans="1:7" x14ac:dyDescent="0.3">
      <c r="A494">
        <v>2.4549999999999899</v>
      </c>
      <c r="B494">
        <v>0</v>
      </c>
      <c r="C494">
        <f t="shared" si="35"/>
        <v>-682.42105263157873</v>
      </c>
      <c r="D494">
        <f t="shared" si="36"/>
        <v>-4.9049999999999996E-2</v>
      </c>
      <c r="E494">
        <f t="shared" si="37"/>
        <v>-10.836966443718159</v>
      </c>
      <c r="F494">
        <f t="shared" si="38"/>
        <v>-5.5999928823367293</v>
      </c>
      <c r="G494">
        <f t="shared" si="39"/>
        <v>0</v>
      </c>
    </row>
    <row r="495" spans="1:7" x14ac:dyDescent="0.3">
      <c r="A495">
        <v>2.4599999999999902</v>
      </c>
      <c r="B495">
        <v>0</v>
      </c>
      <c r="C495">
        <f t="shared" si="35"/>
        <v>-682.42105263157873</v>
      </c>
      <c r="D495">
        <f t="shared" si="36"/>
        <v>-4.9049999999999996E-2</v>
      </c>
      <c r="E495">
        <f t="shared" si="37"/>
        <v>-10.886016443718159</v>
      </c>
      <c r="F495">
        <f t="shared" si="38"/>
        <v>-5.65430033955532</v>
      </c>
      <c r="G495">
        <f t="shared" si="39"/>
        <v>0</v>
      </c>
    </row>
    <row r="496" spans="1:7" x14ac:dyDescent="0.3">
      <c r="A496">
        <v>2.4649999999999901</v>
      </c>
      <c r="B496">
        <v>0</v>
      </c>
      <c r="C496">
        <f t="shared" si="35"/>
        <v>-682.42105263157873</v>
      </c>
      <c r="D496">
        <f t="shared" si="36"/>
        <v>-4.9049999999999996E-2</v>
      </c>
      <c r="E496">
        <f t="shared" si="37"/>
        <v>-10.935066443718158</v>
      </c>
      <c r="F496">
        <f t="shared" si="38"/>
        <v>-5.7088530467739105</v>
      </c>
      <c r="G496">
        <f t="shared" si="39"/>
        <v>0</v>
      </c>
    </row>
    <row r="497" spans="1:7" x14ac:dyDescent="0.3">
      <c r="A497">
        <v>2.46999999999999</v>
      </c>
      <c r="B497">
        <v>0</v>
      </c>
      <c r="C497">
        <f t="shared" si="35"/>
        <v>-682.42105263157873</v>
      </c>
      <c r="D497">
        <f t="shared" si="36"/>
        <v>-4.9049999999999996E-2</v>
      </c>
      <c r="E497">
        <f t="shared" si="37"/>
        <v>-10.984116443718158</v>
      </c>
      <c r="F497">
        <f t="shared" si="38"/>
        <v>-5.7636510039925009</v>
      </c>
      <c r="G497">
        <f t="shared" si="39"/>
        <v>0</v>
      </c>
    </row>
    <row r="498" spans="1:7" x14ac:dyDescent="0.3">
      <c r="A498">
        <v>2.4749999999999899</v>
      </c>
      <c r="B498">
        <v>0</v>
      </c>
      <c r="C498">
        <f t="shared" si="35"/>
        <v>-682.42105263157873</v>
      </c>
      <c r="D498">
        <f t="shared" si="36"/>
        <v>-4.9049999999999996E-2</v>
      </c>
      <c r="E498">
        <f t="shared" si="37"/>
        <v>-11.033166443718157</v>
      </c>
      <c r="F498">
        <f t="shared" si="38"/>
        <v>-5.818694211211092</v>
      </c>
      <c r="G498">
        <f t="shared" si="39"/>
        <v>0</v>
      </c>
    </row>
    <row r="499" spans="1:7" x14ac:dyDescent="0.3">
      <c r="A499">
        <v>2.4799999999999902</v>
      </c>
      <c r="B499">
        <v>0</v>
      </c>
      <c r="C499">
        <f t="shared" si="35"/>
        <v>-682.42105263157873</v>
      </c>
      <c r="D499">
        <f t="shared" si="36"/>
        <v>-4.9049999999999996E-2</v>
      </c>
      <c r="E499">
        <f t="shared" si="37"/>
        <v>-11.082216443718156</v>
      </c>
      <c r="F499">
        <f t="shared" si="38"/>
        <v>-5.873982668429683</v>
      </c>
      <c r="G499">
        <f t="shared" si="39"/>
        <v>0</v>
      </c>
    </row>
    <row r="500" spans="1:7" x14ac:dyDescent="0.3">
      <c r="A500">
        <v>2.4849999999999901</v>
      </c>
      <c r="B500">
        <v>0</v>
      </c>
      <c r="C500">
        <f t="shared" si="35"/>
        <v>-682.42105263157873</v>
      </c>
      <c r="D500">
        <f t="shared" si="36"/>
        <v>-4.9049999999999996E-2</v>
      </c>
      <c r="E500">
        <f t="shared" si="37"/>
        <v>-11.131266443718156</v>
      </c>
      <c r="F500">
        <f t="shared" si="38"/>
        <v>-5.9295163756482738</v>
      </c>
      <c r="G500">
        <f t="shared" si="39"/>
        <v>0</v>
      </c>
    </row>
    <row r="501" spans="1:7" x14ac:dyDescent="0.3">
      <c r="A501">
        <v>2.48999999999999</v>
      </c>
      <c r="B501">
        <v>0</v>
      </c>
      <c r="C501">
        <f t="shared" si="35"/>
        <v>-682.42105263157873</v>
      </c>
      <c r="D501">
        <f t="shared" si="36"/>
        <v>-4.9049999999999996E-2</v>
      </c>
      <c r="E501">
        <f t="shared" si="37"/>
        <v>-11.180316443718155</v>
      </c>
      <c r="F501">
        <f t="shared" si="38"/>
        <v>-5.9852953328668645</v>
      </c>
      <c r="G501">
        <f t="shared" si="39"/>
        <v>0</v>
      </c>
    </row>
    <row r="502" spans="1:7" x14ac:dyDescent="0.3">
      <c r="A502">
        <v>2.4949999999999899</v>
      </c>
      <c r="B502">
        <v>0</v>
      </c>
      <c r="C502">
        <f t="shared" si="35"/>
        <v>-682.42105263157873</v>
      </c>
      <c r="D502">
        <f t="shared" si="36"/>
        <v>-4.9049999999999996E-2</v>
      </c>
      <c r="E502">
        <f t="shared" si="37"/>
        <v>-11.229366443718154</v>
      </c>
      <c r="F502">
        <f t="shared" si="38"/>
        <v>-6.0413195400854551</v>
      </c>
      <c r="G502">
        <f t="shared" si="39"/>
        <v>0</v>
      </c>
    </row>
    <row r="503" spans="1:7" x14ac:dyDescent="0.3">
      <c r="A503">
        <v>2.4999999999999898</v>
      </c>
      <c r="B503">
        <v>0</v>
      </c>
      <c r="C503">
        <f t="shared" si="35"/>
        <v>-682.42105263157873</v>
      </c>
      <c r="D503">
        <f t="shared" si="36"/>
        <v>-4.9049999999999996E-2</v>
      </c>
      <c r="E503">
        <f t="shared" si="37"/>
        <v>-11.278416443718154</v>
      </c>
      <c r="F503">
        <f t="shared" si="38"/>
        <v>-6.0975889973040456</v>
      </c>
      <c r="G503">
        <f t="shared" si="39"/>
        <v>0</v>
      </c>
    </row>
    <row r="504" spans="1:7" x14ac:dyDescent="0.3">
      <c r="A504">
        <v>2.5049999999999901</v>
      </c>
      <c r="B504">
        <v>0</v>
      </c>
      <c r="C504">
        <f t="shared" si="35"/>
        <v>-682.42105263157873</v>
      </c>
      <c r="D504">
        <f t="shared" si="36"/>
        <v>-4.9049999999999996E-2</v>
      </c>
      <c r="E504">
        <f t="shared" si="37"/>
        <v>-11.327466443718153</v>
      </c>
      <c r="F504">
        <f t="shared" si="38"/>
        <v>-6.1541037045226368</v>
      </c>
      <c r="G504">
        <f t="shared" si="39"/>
        <v>0</v>
      </c>
    </row>
    <row r="505" spans="1:7" x14ac:dyDescent="0.3">
      <c r="A505">
        <v>2.50999999999999</v>
      </c>
      <c r="B505">
        <v>0</v>
      </c>
      <c r="C505">
        <f t="shared" si="35"/>
        <v>-682.42105263157873</v>
      </c>
      <c r="D505">
        <f t="shared" si="36"/>
        <v>-4.9049999999999996E-2</v>
      </c>
      <c r="E505">
        <f t="shared" si="37"/>
        <v>-11.376516443718153</v>
      </c>
      <c r="F505">
        <f t="shared" si="38"/>
        <v>-6.2108636617412278</v>
      </c>
      <c r="G505">
        <f t="shared" si="39"/>
        <v>0</v>
      </c>
    </row>
    <row r="506" spans="1:7" x14ac:dyDescent="0.3">
      <c r="A506">
        <v>2.5149999999999899</v>
      </c>
      <c r="B506">
        <v>0</v>
      </c>
      <c r="C506">
        <f t="shared" si="35"/>
        <v>-682.42105263157873</v>
      </c>
      <c r="D506">
        <f t="shared" si="36"/>
        <v>-4.9049999999999996E-2</v>
      </c>
      <c r="E506">
        <f t="shared" si="37"/>
        <v>-11.425566443718152</v>
      </c>
      <c r="F506">
        <f t="shared" si="38"/>
        <v>-6.2678688689598188</v>
      </c>
      <c r="G506">
        <f t="shared" si="39"/>
        <v>0</v>
      </c>
    </row>
    <row r="507" spans="1:7" x14ac:dyDescent="0.3">
      <c r="A507">
        <v>2.5199999999999898</v>
      </c>
      <c r="B507">
        <v>0</v>
      </c>
      <c r="C507">
        <f t="shared" si="35"/>
        <v>-682.42105263157873</v>
      </c>
      <c r="D507">
        <f t="shared" si="36"/>
        <v>-4.9049999999999996E-2</v>
      </c>
      <c r="E507">
        <f t="shared" si="37"/>
        <v>-11.474616443718151</v>
      </c>
      <c r="F507">
        <f t="shared" si="38"/>
        <v>-6.3251193261784096</v>
      </c>
      <c r="G507">
        <f t="shared" si="39"/>
        <v>0</v>
      </c>
    </row>
    <row r="508" spans="1:7" x14ac:dyDescent="0.3">
      <c r="A508">
        <v>2.5249999999999901</v>
      </c>
      <c r="B508">
        <v>0</v>
      </c>
      <c r="C508">
        <f t="shared" si="35"/>
        <v>-682.42105263157873</v>
      </c>
      <c r="D508">
        <f t="shared" si="36"/>
        <v>-4.9049999999999996E-2</v>
      </c>
      <c r="E508">
        <f t="shared" si="37"/>
        <v>-11.523666443718151</v>
      </c>
      <c r="F508">
        <f t="shared" si="38"/>
        <v>-6.3826150333970002</v>
      </c>
      <c r="G508">
        <f t="shared" si="39"/>
        <v>0</v>
      </c>
    </row>
    <row r="509" spans="1:7" x14ac:dyDescent="0.3">
      <c r="A509">
        <v>2.52999999999999</v>
      </c>
      <c r="B509">
        <v>0</v>
      </c>
      <c r="C509">
        <f t="shared" si="35"/>
        <v>-682.42105263157873</v>
      </c>
      <c r="D509">
        <f t="shared" si="36"/>
        <v>-4.9049999999999996E-2</v>
      </c>
      <c r="E509">
        <f t="shared" si="37"/>
        <v>-11.57271644371815</v>
      </c>
      <c r="F509">
        <f t="shared" si="38"/>
        <v>-6.4403559906155907</v>
      </c>
      <c r="G509">
        <f t="shared" si="39"/>
        <v>0</v>
      </c>
    </row>
    <row r="510" spans="1:7" x14ac:dyDescent="0.3">
      <c r="A510">
        <v>2.5349999999999899</v>
      </c>
      <c r="B510">
        <v>0</v>
      </c>
      <c r="C510">
        <f t="shared" si="35"/>
        <v>-682.42105263157873</v>
      </c>
      <c r="D510">
        <f t="shared" si="36"/>
        <v>-4.9049999999999996E-2</v>
      </c>
      <c r="E510">
        <f t="shared" si="37"/>
        <v>-11.621766443718149</v>
      </c>
      <c r="F510">
        <f t="shared" si="38"/>
        <v>-6.4983421978341811</v>
      </c>
      <c r="G510">
        <f t="shared" si="39"/>
        <v>0</v>
      </c>
    </row>
    <row r="511" spans="1:7" x14ac:dyDescent="0.3">
      <c r="A511">
        <v>2.5399999999999898</v>
      </c>
      <c r="B511">
        <v>0</v>
      </c>
      <c r="C511">
        <f t="shared" si="35"/>
        <v>-682.42105263157873</v>
      </c>
      <c r="D511">
        <f t="shared" si="36"/>
        <v>-4.9049999999999996E-2</v>
      </c>
      <c r="E511">
        <f t="shared" si="37"/>
        <v>-11.670816443718149</v>
      </c>
      <c r="F511">
        <f t="shared" si="38"/>
        <v>-6.5565736550527722</v>
      </c>
      <c r="G511">
        <f t="shared" si="39"/>
        <v>0</v>
      </c>
    </row>
    <row r="512" spans="1:7" x14ac:dyDescent="0.3">
      <c r="A512">
        <v>2.5449999999999902</v>
      </c>
      <c r="B512">
        <v>0</v>
      </c>
      <c r="C512">
        <f t="shared" si="35"/>
        <v>-682.42105263157873</v>
      </c>
      <c r="D512">
        <f t="shared" si="36"/>
        <v>-4.9049999999999996E-2</v>
      </c>
      <c r="E512">
        <f t="shared" si="37"/>
        <v>-11.719866443718148</v>
      </c>
      <c r="F512">
        <f t="shared" si="38"/>
        <v>-6.6150503622713632</v>
      </c>
      <c r="G512">
        <f t="shared" si="39"/>
        <v>0</v>
      </c>
    </row>
    <row r="513" spans="1:7" x14ac:dyDescent="0.3">
      <c r="A513">
        <v>2.5499999999999901</v>
      </c>
      <c r="B513">
        <v>0</v>
      </c>
      <c r="C513">
        <f t="shared" si="35"/>
        <v>-682.42105263157873</v>
      </c>
      <c r="D513">
        <f t="shared" si="36"/>
        <v>-4.9049999999999996E-2</v>
      </c>
      <c r="E513">
        <f t="shared" si="37"/>
        <v>-11.768916443718147</v>
      </c>
      <c r="F513">
        <f t="shared" si="38"/>
        <v>-6.6737723194899541</v>
      </c>
      <c r="G513">
        <f t="shared" si="39"/>
        <v>0</v>
      </c>
    </row>
    <row r="514" spans="1:7" x14ac:dyDescent="0.3">
      <c r="A514">
        <v>2.5549999999999899</v>
      </c>
      <c r="B514">
        <v>0</v>
      </c>
      <c r="C514">
        <f t="shared" si="35"/>
        <v>-682.42105263157873</v>
      </c>
      <c r="D514">
        <f t="shared" si="36"/>
        <v>-4.9049999999999996E-2</v>
      </c>
      <c r="E514">
        <f t="shared" si="37"/>
        <v>-11.817966443718147</v>
      </c>
      <c r="F514">
        <f t="shared" si="38"/>
        <v>-6.7327395267085448</v>
      </c>
      <c r="G514">
        <f t="shared" si="39"/>
        <v>0</v>
      </c>
    </row>
    <row r="515" spans="1:7" x14ac:dyDescent="0.3">
      <c r="A515">
        <v>2.5599999999999898</v>
      </c>
      <c r="B515">
        <v>0</v>
      </c>
      <c r="C515">
        <f t="shared" si="35"/>
        <v>-682.42105263157873</v>
      </c>
      <c r="D515">
        <f t="shared" si="36"/>
        <v>-4.9049999999999996E-2</v>
      </c>
      <c r="E515">
        <f t="shared" si="37"/>
        <v>-11.867016443718146</v>
      </c>
      <c r="F515">
        <f t="shared" si="38"/>
        <v>-6.7919519839271354</v>
      </c>
      <c r="G515">
        <f t="shared" si="39"/>
        <v>0</v>
      </c>
    </row>
    <row r="516" spans="1:7" x14ac:dyDescent="0.3">
      <c r="A516">
        <v>2.5649999999999902</v>
      </c>
      <c r="B516">
        <v>0</v>
      </c>
      <c r="C516">
        <f t="shared" ref="C516:C519" si="40">B516+$C$1</f>
        <v>-682.42105263157873</v>
      </c>
      <c r="D516">
        <f t="shared" si="36"/>
        <v>-4.9049999999999996E-2</v>
      </c>
      <c r="E516">
        <f t="shared" si="37"/>
        <v>-11.916066443718146</v>
      </c>
      <c r="F516">
        <f t="shared" si="38"/>
        <v>-6.8514096911457258</v>
      </c>
      <c r="G516">
        <f t="shared" si="39"/>
        <v>0</v>
      </c>
    </row>
    <row r="517" spans="1:7" x14ac:dyDescent="0.3">
      <c r="A517">
        <v>2.5699999999999901</v>
      </c>
      <c r="B517">
        <v>0</v>
      </c>
      <c r="C517">
        <f t="shared" si="40"/>
        <v>-682.42105263157873</v>
      </c>
      <c r="D517">
        <f t="shared" ref="D517:D519" si="41">1/$E$1*(C516+C517)*0.005/2</f>
        <v>-4.9049999999999996E-2</v>
      </c>
      <c r="E517">
        <f t="shared" ref="E517:E519" si="42">E516+D517</f>
        <v>-11.965116443718145</v>
      </c>
      <c r="F517">
        <f t="shared" ref="F517:F519" si="43">F516+(E516+E517)*0.005/2</f>
        <v>-6.9111126483643162</v>
      </c>
      <c r="G517">
        <f t="shared" ref="G517:G519" si="44">B517*E517</f>
        <v>0</v>
      </c>
    </row>
    <row r="518" spans="1:7" x14ac:dyDescent="0.3">
      <c r="A518">
        <v>2.57499999999999</v>
      </c>
      <c r="B518">
        <v>0</v>
      </c>
      <c r="C518">
        <f t="shared" si="40"/>
        <v>-682.42105263157873</v>
      </c>
      <c r="D518">
        <f t="shared" si="41"/>
        <v>-4.9049999999999996E-2</v>
      </c>
      <c r="E518">
        <f t="shared" si="42"/>
        <v>-12.014166443718144</v>
      </c>
      <c r="F518">
        <f t="shared" si="43"/>
        <v>-6.9710608555829072</v>
      </c>
      <c r="G518">
        <f t="shared" si="44"/>
        <v>0</v>
      </c>
    </row>
    <row r="519" spans="1:7" x14ac:dyDescent="0.3">
      <c r="A519">
        <v>2.5799999999999899</v>
      </c>
      <c r="B519">
        <v>0</v>
      </c>
      <c r="C519">
        <f t="shared" si="40"/>
        <v>-682.42105263157873</v>
      </c>
      <c r="D519">
        <f t="shared" si="41"/>
        <v>-4.9049999999999996E-2</v>
      </c>
      <c r="E519">
        <f t="shared" si="42"/>
        <v>-12.063216443718144</v>
      </c>
      <c r="F519">
        <f t="shared" si="43"/>
        <v>-7.0312543128014982</v>
      </c>
      <c r="G519">
        <f t="shared" si="44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Institut PPRIME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MONNET</dc:creator>
  <cp:lastModifiedBy>Justinien Quaresma</cp:lastModifiedBy>
  <dcterms:created xsi:type="dcterms:W3CDTF">2019-03-28T13:34:16Z</dcterms:created>
  <dcterms:modified xsi:type="dcterms:W3CDTF">2025-01-06T15:17:56Z</dcterms:modified>
</cp:coreProperties>
</file>